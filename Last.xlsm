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mdani\Desktop\"/>
    </mc:Choice>
  </mc:AlternateContent>
  <xr:revisionPtr revIDLastSave="0" documentId="13_ncr:1_{38DCC1EA-FA7B-41A1-A099-404CB9A3C6D8}" xr6:coauthVersionLast="47" xr6:coauthVersionMax="47" xr10:uidLastSave="{00000000-0000-0000-0000-000000000000}"/>
  <bookViews>
    <workbookView xWindow="-110" yWindow="-110" windowWidth="19420" windowHeight="10420" activeTab="4" xr2:uid="{574F71F4-A056-40D9-AE9B-7A87D73AD47B}"/>
  </bookViews>
  <sheets>
    <sheet name="Dashboard" sheetId="1" r:id="rId1"/>
    <sheet name="Daily Routine" sheetId="2" r:id="rId2"/>
    <sheet name="RoutineDB" sheetId="3" r:id="rId3"/>
    <sheet name="Historyy" sheetId="4" r:id="rId4"/>
    <sheet name="DateList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" l="1"/>
  <c r="E14" i="1"/>
  <c r="E16" i="1"/>
  <c r="E17" i="1"/>
  <c r="E18" i="1"/>
  <c r="I15" i="1"/>
  <c r="I16" i="1"/>
  <c r="I17" i="1"/>
  <c r="I18" i="1"/>
  <c r="I14" i="1"/>
  <c r="K24" i="1"/>
  <c r="K14" i="1"/>
  <c r="K15" i="1" s="1"/>
  <c r="K16" i="1" s="1"/>
  <c r="K17" i="1" s="1"/>
  <c r="K18" i="1" s="1"/>
  <c r="K19" i="1" s="1"/>
  <c r="L14" i="1" l="1"/>
  <c r="M14" i="1" s="1"/>
  <c r="M15" i="1" s="1"/>
  <c r="M16" i="1" s="1"/>
  <c r="M17" i="1" s="1"/>
  <c r="M18" i="1" s="1"/>
  <c r="M19" i="1" s="1"/>
  <c r="L15" i="1" l="1"/>
  <c r="L16" i="1" s="1"/>
  <c r="L17" i="1" s="1"/>
  <c r="L18" i="1" s="1"/>
  <c r="L19" i="1" s="1"/>
  <c r="N14" i="1"/>
  <c r="O14" i="1" s="1"/>
  <c r="L24" i="1"/>
  <c r="N15" i="1" l="1"/>
  <c r="N16" i="1" s="1"/>
  <c r="N17" i="1" s="1"/>
  <c r="N18" i="1" s="1"/>
  <c r="N19" i="1" s="1"/>
  <c r="O15" i="1"/>
  <c r="O16" i="1" s="1"/>
  <c r="O17" i="1" s="1"/>
  <c r="O18" i="1" s="1"/>
  <c r="O19" i="1" s="1"/>
  <c r="P14" i="1"/>
  <c r="M24" i="1"/>
  <c r="N24" i="1" l="1"/>
  <c r="P15" i="1"/>
  <c r="P16" i="1" s="1"/>
  <c r="P17" i="1" s="1"/>
  <c r="P18" i="1" s="1"/>
  <c r="P19" i="1" s="1"/>
  <c r="Q14" i="1"/>
  <c r="Q15" i="1" s="1"/>
  <c r="Q16" i="1" s="1"/>
  <c r="Q17" i="1" s="1"/>
  <c r="Q18" i="1" s="1"/>
  <c r="Q19" i="1" s="1"/>
  <c r="O24" i="1" l="1"/>
  <c r="Q24" i="1" l="1"/>
  <c r="P24" i="1"/>
</calcChain>
</file>

<file path=xl/sharedStrings.xml><?xml version="1.0" encoding="utf-8"?>
<sst xmlns="http://schemas.openxmlformats.org/spreadsheetml/2006/main" count="377" uniqueCount="80">
  <si>
    <t>MY LEARNING DASHBOARD</t>
  </si>
  <si>
    <t>Tanggal:</t>
  </si>
  <si>
    <t>AKTIVITAS SELESAI</t>
  </si>
  <si>
    <t>TOTAL WAKTU</t>
  </si>
  <si>
    <t>STREAK</t>
  </si>
  <si>
    <t>TARGET PROGRESS</t>
  </si>
  <si>
    <t>PROGRESS PER SKILL</t>
  </si>
  <si>
    <t>KALENDER</t>
  </si>
  <si>
    <t>JADWAL HARI INI</t>
  </si>
  <si>
    <t>7 HARI TERAKHIR</t>
  </si>
  <si>
    <t>RIWAYAT TERAKHIR</t>
  </si>
  <si>
    <t>Tanggal</t>
  </si>
  <si>
    <t>Jam</t>
  </si>
  <si>
    <t>Aktivitas</t>
  </si>
  <si>
    <t>Kategori</t>
  </si>
  <si>
    <t>Selesai</t>
  </si>
  <si>
    <t>Catatan</t>
  </si>
  <si>
    <t>Bangun + beres-beres</t>
  </si>
  <si>
    <t>Routine</t>
  </si>
  <si>
    <t>06:30 - 07:00</t>
  </si>
  <si>
    <t>Sarapan</t>
  </si>
  <si>
    <t>07:00 - 09:00</t>
  </si>
  <si>
    <t>Full Stack - Materi</t>
  </si>
  <si>
    <t>Full Stack</t>
  </si>
  <si>
    <t>09:00 - 09:30</t>
  </si>
  <si>
    <t>Istirahat</t>
  </si>
  <si>
    <t>09:30 - 11:30</t>
  </si>
  <si>
    <t>Full Stack - Praktik</t>
  </si>
  <si>
    <t>11:30 - 13:00</t>
  </si>
  <si>
    <t>Zuhur + makan</t>
  </si>
  <si>
    <t>13:00 - 14:30</t>
  </si>
  <si>
    <t>Belajar Excel</t>
  </si>
  <si>
    <t>Excel</t>
  </si>
  <si>
    <t>14:30 - 15:30</t>
  </si>
  <si>
    <t>15:30 - 16:00</t>
  </si>
  <si>
    <t>Asar</t>
  </si>
  <si>
    <t>16:00 - 17:00</t>
  </si>
  <si>
    <t>English</t>
  </si>
  <si>
    <t>17:00 - 19:30</t>
  </si>
  <si>
    <t>Mandi + Magrib + makan + Isya</t>
  </si>
  <si>
    <t>19:30 - 21:00</t>
  </si>
  <si>
    <t>Full Stack - Project</t>
  </si>
  <si>
    <t>21:00 - 22:00</t>
  </si>
  <si>
    <t>Waktu bebas</t>
  </si>
  <si>
    <t>Free Time</t>
  </si>
  <si>
    <t>22:00 - 22:30</t>
  </si>
  <si>
    <t>Persiapan tidur</t>
  </si>
  <si>
    <t>Tidur</t>
  </si>
  <si>
    <t>Study Minutes</t>
  </si>
  <si>
    <t>Total Aktivitas</t>
  </si>
  <si>
    <t>Total Menit</t>
  </si>
  <si>
    <t>Progress</t>
  </si>
  <si>
    <t>Streak</t>
  </si>
  <si>
    <t>-</t>
  </si>
  <si>
    <t>DONE</t>
  </si>
  <si>
    <t>Jira</t>
  </si>
  <si>
    <t>Accurate</t>
  </si>
  <si>
    <t>Sen</t>
  </si>
  <si>
    <t>sel</t>
  </si>
  <si>
    <t>Rab</t>
  </si>
  <si>
    <t>Kam</t>
  </si>
  <si>
    <t>Jum</t>
  </si>
  <si>
    <t>Sab</t>
  </si>
  <si>
    <t>Min</t>
  </si>
  <si>
    <t>Skill</t>
  </si>
  <si>
    <t>%</t>
  </si>
  <si>
    <t>TANGGAL</t>
  </si>
  <si>
    <t>JAM</t>
  </si>
  <si>
    <t>AKTIVITAS</t>
  </si>
  <si>
    <t>KATEGORI</t>
  </si>
  <si>
    <t>STATUS</t>
  </si>
  <si>
    <t>MY LEARNING</t>
  </si>
  <si>
    <t>Daily Routine</t>
  </si>
  <si>
    <t>History</t>
  </si>
  <si>
    <t>RoutineDB</t>
  </si>
  <si>
    <t>DateList</t>
  </si>
  <si>
    <t>3 hari</t>
  </si>
  <si>
    <t>PILIH TANGGAL</t>
  </si>
  <si>
    <t>4 / 15</t>
  </si>
  <si>
    <t>1,0 jam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</si>
</sst>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dd/mm"/>
    <numFmt numFmtId="166" formatCode="[$-13809]dd/mm/yyyy;@"/>
    <numFmt numFmtId="167" formatCode="#,##0.0"/>
    <numFmt numFmtId="168" formatCode="dd"/>
    <numFmt numFmtId="169" formatCode="dd/mm/yyyy"/>
  </numFmts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Arial Unicode MS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8"/>
      <color theme="0"/>
      <name val="Calibri"/>
      <family val="2"/>
      <scheme val="minor"/>
    </font>
    <font>
      <sz val="8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6">
    <xf numFmtId="0" fontId="0" fillId="0" borderId="0" xfId="0"/>
    <xf numFmtId="20" fontId="0" fillId="0" borderId="0" xfId="0" applyNumberFormat="1"/>
    <xf numFmtId="9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vertical="center" wrapText="1"/>
    </xf>
    <xf numFmtId="0" fontId="7" fillId="2" borderId="12" xfId="0" applyFont="1" applyFill="1" applyBorder="1"/>
    <xf numFmtId="0" fontId="1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9" fontId="0" fillId="0" borderId="1" xfId="0" applyNumberForma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68" fontId="4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/>
    <xf numFmtId="0" fontId="0" fillId="0" borderId="1" xfId="0" applyBorder="1" applyAlignment="1">
      <alignment vertical="center"/>
    </xf>
    <xf numFmtId="165" fontId="0" fillId="0" borderId="1" xfId="0" applyNumberForma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0" fontId="1" fillId="2" borderId="2" xfId="0" applyFont="1" applyFill="1" applyBorder="1"/>
    <xf numFmtId="0" fontId="1" fillId="2" borderId="3" xfId="0" applyFont="1" applyFill="1" applyBorder="1"/>
    <xf numFmtId="165" fontId="1" fillId="2" borderId="0" xfId="0" applyNumberFormat="1" applyFont="1" applyFill="1" applyAlignment="1">
      <alignment horizontal="center" vertical="center"/>
    </xf>
    <xf numFmtId="0" fontId="1" fillId="0" borderId="1" xfId="0" applyFont="1" applyBorder="1" applyAlignment="1">
      <alignment horizontal="center"/>
    </xf>
    <xf numFmtId="9" fontId="1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9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3" fillId="3" borderId="4" xfId="0" applyFont="1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49" fontId="5" fillId="3" borderId="7" xfId="0" applyNumberFormat="1" applyFont="1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3" borderId="8" xfId="0" applyFill="1" applyBorder="1" applyAlignment="1">
      <alignment vertical="center"/>
    </xf>
    <xf numFmtId="0" fontId="0" fillId="3" borderId="9" xfId="0" applyFill="1" applyBorder="1" applyAlignment="1">
      <alignment vertical="center"/>
    </xf>
    <xf numFmtId="0" fontId="0" fillId="3" borderId="10" xfId="0" applyFill="1" applyBorder="1" applyAlignment="1">
      <alignment vertical="center"/>
    </xf>
    <xf numFmtId="0" fontId="0" fillId="3" borderId="11" xfId="0" applyFill="1" applyBorder="1" applyAlignment="1">
      <alignment vertical="center"/>
    </xf>
    <xf numFmtId="0" fontId="3" fillId="3" borderId="4" xfId="0" applyFont="1" applyFill="1" applyBorder="1"/>
    <xf numFmtId="0" fontId="0" fillId="3" borderId="5" xfId="0" applyFill="1" applyBorder="1"/>
    <xf numFmtId="0" fontId="0" fillId="3" borderId="6" xfId="0" applyFill="1" applyBorder="1"/>
    <xf numFmtId="49" fontId="5" fillId="3" borderId="7" xfId="0" applyNumberFormat="1" applyFont="1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49" fontId="6" fillId="3" borderId="7" xfId="0" applyNumberFormat="1" applyFont="1" applyFill="1" applyBorder="1" applyAlignment="1">
      <alignment vertical="center"/>
    </xf>
    <xf numFmtId="9" fontId="5" fillId="3" borderId="7" xfId="0" applyNumberFormat="1" applyFont="1" applyFill="1" applyBorder="1"/>
    <xf numFmtId="0" fontId="0" fillId="4" borderId="0" xfId="0" applyFill="1"/>
    <xf numFmtId="0" fontId="2" fillId="4" borderId="0" xfId="0" applyFont="1" applyFill="1" applyAlignment="1">
      <alignment horizontal="center"/>
    </xf>
    <xf numFmtId="0" fontId="9" fillId="4" borderId="0" xfId="0" applyFont="1" applyFill="1" applyAlignment="1">
      <alignment horizontal="center" vertical="center"/>
    </xf>
    <xf numFmtId="9" fontId="0" fillId="0" borderId="13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8" fillId="4" borderId="0" xfId="0" applyFont="1" applyFill="1" applyAlignment="1">
      <alignment horizontal="center" vertical="center"/>
    </xf>
    <xf numFmtId="0" fontId="12" fillId="4" borderId="0" xfId="1" applyFont="1" applyFill="1" applyAlignment="1">
      <alignment horizontal="center" vertical="center"/>
    </xf>
    <xf numFmtId="0" fontId="12" fillId="4" borderId="16" xfId="1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9" fontId="0" fillId="0" borderId="14" xfId="0" applyNumberFormat="1" applyBorder="1" applyAlignment="1">
      <alignment horizontal="center"/>
    </xf>
    <xf numFmtId="9" fontId="0" fillId="0" borderId="15" xfId="0" applyNumberFormat="1" applyBorder="1" applyAlignment="1">
      <alignment horizontal="center"/>
    </xf>
    <xf numFmtId="0" fontId="11" fillId="0" borderId="0" xfId="0" applyFont="1" applyAlignment="1">
      <alignment horizontal="center" vertical="center"/>
    </xf>
    <xf numFmtId="169" fontId="0" fillId="0" borderId="0" xfId="0" applyNumberFormat="1"/>
    <xf numFmtId="169" fontId="0" fillId="0" borderId="15" xfId="0" applyNumberFormat="1" applyBorder="1" applyAlignment="1">
      <alignment horizontal="center"/>
    </xf>
    <xf numFmtId="169" fontId="1" fillId="0" borderId="1" xfId="0" applyNumberFormat="1" applyFont="1" applyBorder="1" applyAlignment="1">
      <alignment horizontal="center"/>
    </xf>
    <xf numFmtId="169" fontId="0" fillId="0" borderId="1" xfId="0" applyNumberFormat="1" applyBorder="1" applyAlignment="1">
      <alignment horizontal="center"/>
    </xf>
  </cellXfs>
  <cellStyles count="2">
    <cellStyle name="Hy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$E$2" lockText="1" noThreeD="1"/>
</file>

<file path=xl/ctrlProps/ctrlProp2.xml><?xml version="1.0" encoding="utf-8"?>
<formControlPr xmlns="http://schemas.microsoft.com/office/spreadsheetml/2009/9/main" objectType="CheckBox" fmlaLink="$E$3" lockText="1" noThreeD="1"/>
</file>

<file path=xl/ctrlProps/ctrlProp3.xml><?xml version="1.0" encoding="utf-8"?>
<formControlPr xmlns="http://schemas.microsoft.com/office/spreadsheetml/2009/9/main" objectType="CheckBox" fmlaLink="$E$4" lockText="1" noThreeD="1"/>
</file>

<file path=xl/ctrlProps/ctrlProp4.xml><?xml version="1.0" encoding="utf-8"?>
<formControlPr xmlns="http://schemas.microsoft.com/office/spreadsheetml/2009/9/main" objectType="CheckBox" fmlaLink="$E$5" lockText="1" noThreeD="1"/>
</file>

<file path=xl/ctrlProps/ctrlProp5.xml><?xml version="1.0" encoding="utf-8"?>
<formControlPr xmlns="http://schemas.microsoft.com/office/spreadsheetml/2009/9/main" objectType="CheckBox" fmlaLink="$E$6" lockText="1" noThreeD="1"/>
</file>

<file path=xl/ctrlProps/ctrlProp6.xml><?xml version="1.0" encoding="utf-8"?>
<formControlPr xmlns="http://schemas.microsoft.com/office/spreadsheetml/2009/9/main" objectType="CheckBox" fmlaLink="$E$7" lockText="1" noThreeD="1"/>
</file>

<file path=xl/ctrlProps/ctrlProp7.xml><?xml version="1.0" encoding="utf-8"?>
<formControlPr xmlns="http://schemas.microsoft.com/office/spreadsheetml/2009/9/main" objectType="CheckBox" fmlaLink="$E$8" lockText="1" noThreeD="1"/>
</file>

<file path=xl/ctrlProps/ctrlProp8.xml><?xml version="1.0" encoding="utf-8"?>
<formControlPr xmlns="http://schemas.microsoft.com/office/spreadsheetml/2009/9/main" objectType="CheckBox" fmlaLink="$E$9" lockText="1" noThreeD="1"/>
</file>

<file path=xl/ctrlProps/ctrlProp9.xml><?xml version="1.0" encoding="utf-8"?>
<formControlPr xmlns="http://schemas.microsoft.com/office/spreadsheetml/2009/9/main" objectType="CheckBox" fmlaLink="$E$10" lockText="1" noThreeD="1"/>
</file>

<file path=xl/ctrlProps/ctrlProp10.xml><?xml version="1.0" encoding="utf-8"?>
<formControlPr xmlns="http://schemas.microsoft.com/office/spreadsheetml/2009/9/main" objectType="CheckBox" fmlaLink="$E$11" lockText="1" noThreeD="1"/>
</file>

<file path=xl/ctrlProps/ctrlProp11.xml><?xml version="1.0" encoding="utf-8"?>
<formControlPr xmlns="http://schemas.microsoft.com/office/spreadsheetml/2009/9/main" objectType="CheckBox" fmlaLink="$E$12" lockText="1" noThreeD="1"/>
</file>

<file path=xl/ctrlProps/ctrlProp12.xml><?xml version="1.0" encoding="utf-8"?>
<formControlPr xmlns="http://schemas.microsoft.com/office/spreadsheetml/2009/9/main" objectType="CheckBox" fmlaLink="$E$13" lockText="1" noThreeD="1"/>
</file>

<file path=xl/ctrlProps/ctrlProp13.xml><?xml version="1.0" encoding="utf-8"?>
<formControlPr xmlns="http://schemas.microsoft.com/office/spreadsheetml/2009/9/main" objectType="CheckBox" fmlaLink="$E$14" lockText="1" noThreeD="1"/>
</file>

<file path=xl/ctrlProps/ctrlProp14.xml><?xml version="1.0" encoding="utf-8"?>
<formControlPr xmlns="http://schemas.microsoft.com/office/spreadsheetml/2009/9/main" objectType="CheckBox" fmlaLink="$E$15" lockText="1" noThreeD="1"/>
</file>

<file path=xl/ctrlProps/ctrlProp15.xml><?xml version="1.0" encoding="utf-8"?>
<formControlPr xmlns="http://schemas.microsoft.com/office/spreadsheetml/2009/9/main" objectType="CheckBox" fmlaLink="$E$1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</xdr:row>
          <xdr:rowOff>25400</xdr:rowOff>
        </xdr:from>
        <xdr:to>
          <xdr:col>4</xdr:col>
          <xdr:colOff>584200</xdr:colOff>
          <xdr:row>2</xdr:row>
          <xdr:rowOff>57150</xdr:rowOff>
        </xdr:to>
        <xdr:sp macro="" textlink="">
          <xdr:nvSpPr>
            <xdr:cNvPr id="3039" name="Check Box 991" hidden="1">
              <a:extLst>
                <a:ext uri="{63B3BB69-23CF-44E3-9099-C40C66FF867C}">
                  <a14:compatExt spid="_x0000_s3039"/>
                </a:ext>
                <a:ext uri="{FF2B5EF4-FFF2-40B4-BE49-F238E27FC236}">
                  <a16:creationId xmlns:a16="http://schemas.microsoft.com/office/drawing/2014/main" id="{C34E0808-CD3F-A657-0231-DDC54BB59D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2</xdr:row>
          <xdr:rowOff>25400</xdr:rowOff>
        </xdr:from>
        <xdr:to>
          <xdr:col>4</xdr:col>
          <xdr:colOff>584200</xdr:colOff>
          <xdr:row>3</xdr:row>
          <xdr:rowOff>57150</xdr:rowOff>
        </xdr:to>
        <xdr:sp macro="" textlink="">
          <xdr:nvSpPr>
            <xdr:cNvPr id="3040" name="Check Box 992" hidden="1">
              <a:extLst>
                <a:ext uri="{63B3BB69-23CF-44E3-9099-C40C66FF867C}">
                  <a14:compatExt spid="_x0000_s3040"/>
                </a:ext>
                <a:ext uri="{FF2B5EF4-FFF2-40B4-BE49-F238E27FC236}">
                  <a16:creationId xmlns:a16="http://schemas.microsoft.com/office/drawing/2014/main" id="{0C3ADBB3-B83D-C799-2F7A-CEEF2F16AA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3</xdr:row>
          <xdr:rowOff>25400</xdr:rowOff>
        </xdr:from>
        <xdr:to>
          <xdr:col>4</xdr:col>
          <xdr:colOff>584200</xdr:colOff>
          <xdr:row>4</xdr:row>
          <xdr:rowOff>57150</xdr:rowOff>
        </xdr:to>
        <xdr:sp macro="" textlink="">
          <xdr:nvSpPr>
            <xdr:cNvPr id="3041" name="Check Box 993" hidden="1">
              <a:extLst>
                <a:ext uri="{63B3BB69-23CF-44E3-9099-C40C66FF867C}">
                  <a14:compatExt spid="_x0000_s3041"/>
                </a:ext>
                <a:ext uri="{FF2B5EF4-FFF2-40B4-BE49-F238E27FC236}">
                  <a16:creationId xmlns:a16="http://schemas.microsoft.com/office/drawing/2014/main" id="{3BCF4362-D09F-0EE0-5162-CAE8628ED9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4</xdr:row>
          <xdr:rowOff>25400</xdr:rowOff>
        </xdr:from>
        <xdr:to>
          <xdr:col>4</xdr:col>
          <xdr:colOff>584200</xdr:colOff>
          <xdr:row>5</xdr:row>
          <xdr:rowOff>57150</xdr:rowOff>
        </xdr:to>
        <xdr:sp macro="" textlink="">
          <xdr:nvSpPr>
            <xdr:cNvPr id="3042" name="Check Box 994" hidden="1">
              <a:extLst>
                <a:ext uri="{63B3BB69-23CF-44E3-9099-C40C66FF867C}">
                  <a14:compatExt spid="_x0000_s3042"/>
                </a:ext>
                <a:ext uri="{FF2B5EF4-FFF2-40B4-BE49-F238E27FC236}">
                  <a16:creationId xmlns:a16="http://schemas.microsoft.com/office/drawing/2014/main" id="{39CB8FC5-6217-A50F-3D2D-F6C078A321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5</xdr:row>
          <xdr:rowOff>25400</xdr:rowOff>
        </xdr:from>
        <xdr:to>
          <xdr:col>4</xdr:col>
          <xdr:colOff>584200</xdr:colOff>
          <xdr:row>6</xdr:row>
          <xdr:rowOff>57150</xdr:rowOff>
        </xdr:to>
        <xdr:sp macro="" textlink="">
          <xdr:nvSpPr>
            <xdr:cNvPr id="3043" name="Check Box 995" hidden="1">
              <a:extLst>
                <a:ext uri="{63B3BB69-23CF-44E3-9099-C40C66FF867C}">
                  <a14:compatExt spid="_x0000_s3043"/>
                </a:ext>
                <a:ext uri="{FF2B5EF4-FFF2-40B4-BE49-F238E27FC236}">
                  <a16:creationId xmlns:a16="http://schemas.microsoft.com/office/drawing/2014/main" id="{4D0C0BBD-4DF0-B40D-845E-1E5A551B95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6</xdr:row>
          <xdr:rowOff>25400</xdr:rowOff>
        </xdr:from>
        <xdr:to>
          <xdr:col>4</xdr:col>
          <xdr:colOff>584200</xdr:colOff>
          <xdr:row>7</xdr:row>
          <xdr:rowOff>57150</xdr:rowOff>
        </xdr:to>
        <xdr:sp macro="" textlink="">
          <xdr:nvSpPr>
            <xdr:cNvPr id="3044" name="Check Box 996" hidden="1">
              <a:extLst>
                <a:ext uri="{63B3BB69-23CF-44E3-9099-C40C66FF867C}">
                  <a14:compatExt spid="_x0000_s3044"/>
                </a:ext>
                <a:ext uri="{FF2B5EF4-FFF2-40B4-BE49-F238E27FC236}">
                  <a16:creationId xmlns:a16="http://schemas.microsoft.com/office/drawing/2014/main" id="{D5A06A0C-BAEA-3691-9612-0C953928B1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7</xdr:row>
          <xdr:rowOff>25400</xdr:rowOff>
        </xdr:from>
        <xdr:to>
          <xdr:col>4</xdr:col>
          <xdr:colOff>584200</xdr:colOff>
          <xdr:row>8</xdr:row>
          <xdr:rowOff>57150</xdr:rowOff>
        </xdr:to>
        <xdr:sp macro="" textlink="">
          <xdr:nvSpPr>
            <xdr:cNvPr id="3045" name="Check Box 997" hidden="1">
              <a:extLst>
                <a:ext uri="{63B3BB69-23CF-44E3-9099-C40C66FF867C}">
                  <a14:compatExt spid="_x0000_s3045"/>
                </a:ext>
                <a:ext uri="{FF2B5EF4-FFF2-40B4-BE49-F238E27FC236}">
                  <a16:creationId xmlns:a16="http://schemas.microsoft.com/office/drawing/2014/main" id="{183130CD-A1D6-FAFA-0D14-9BC78EB7CB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8</xdr:row>
          <xdr:rowOff>25400</xdr:rowOff>
        </xdr:from>
        <xdr:to>
          <xdr:col>4</xdr:col>
          <xdr:colOff>584200</xdr:colOff>
          <xdr:row>9</xdr:row>
          <xdr:rowOff>57150</xdr:rowOff>
        </xdr:to>
        <xdr:sp macro="" textlink="">
          <xdr:nvSpPr>
            <xdr:cNvPr id="3046" name="Check Box 998" hidden="1">
              <a:extLst>
                <a:ext uri="{63B3BB69-23CF-44E3-9099-C40C66FF867C}">
                  <a14:compatExt spid="_x0000_s3046"/>
                </a:ext>
                <a:ext uri="{FF2B5EF4-FFF2-40B4-BE49-F238E27FC236}">
                  <a16:creationId xmlns:a16="http://schemas.microsoft.com/office/drawing/2014/main" id="{5191CA49-B937-46BC-73C3-E98D56BFBC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9</xdr:row>
          <xdr:rowOff>25400</xdr:rowOff>
        </xdr:from>
        <xdr:to>
          <xdr:col>4</xdr:col>
          <xdr:colOff>584200</xdr:colOff>
          <xdr:row>10</xdr:row>
          <xdr:rowOff>57150</xdr:rowOff>
        </xdr:to>
        <xdr:sp macro="" textlink="">
          <xdr:nvSpPr>
            <xdr:cNvPr id="3047" name="Check Box 999" hidden="1">
              <a:extLst>
                <a:ext uri="{63B3BB69-23CF-44E3-9099-C40C66FF867C}">
                  <a14:compatExt spid="_x0000_s3047"/>
                </a:ext>
                <a:ext uri="{FF2B5EF4-FFF2-40B4-BE49-F238E27FC236}">
                  <a16:creationId xmlns:a16="http://schemas.microsoft.com/office/drawing/2014/main" id="{BC80D75D-13BB-DB59-F826-9385BD7625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10</xdr:row>
          <xdr:rowOff>25400</xdr:rowOff>
        </xdr:from>
        <xdr:to>
          <xdr:col>4</xdr:col>
          <xdr:colOff>584200</xdr:colOff>
          <xdr:row>11</xdr:row>
          <xdr:rowOff>57150</xdr:rowOff>
        </xdr:to>
        <xdr:sp macro="" textlink="">
          <xdr:nvSpPr>
            <xdr:cNvPr id="3048" name="Check Box 1000" hidden="1">
              <a:extLst>
                <a:ext uri="{63B3BB69-23CF-44E3-9099-C40C66FF867C}">
                  <a14:compatExt spid="_x0000_s3048"/>
                </a:ext>
                <a:ext uri="{FF2B5EF4-FFF2-40B4-BE49-F238E27FC236}">
                  <a16:creationId xmlns:a16="http://schemas.microsoft.com/office/drawing/2014/main" id="{3CC77404-5B66-63EF-0795-D8CCB1896E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11</xdr:row>
          <xdr:rowOff>25400</xdr:rowOff>
        </xdr:from>
        <xdr:to>
          <xdr:col>4</xdr:col>
          <xdr:colOff>584200</xdr:colOff>
          <xdr:row>12</xdr:row>
          <xdr:rowOff>57150</xdr:rowOff>
        </xdr:to>
        <xdr:sp macro="" textlink="">
          <xdr:nvSpPr>
            <xdr:cNvPr id="3049" name="Check Box 1001" hidden="1">
              <a:extLst>
                <a:ext uri="{63B3BB69-23CF-44E3-9099-C40C66FF867C}">
                  <a14:compatExt spid="_x0000_s3049"/>
                </a:ext>
                <a:ext uri="{FF2B5EF4-FFF2-40B4-BE49-F238E27FC236}">
                  <a16:creationId xmlns:a16="http://schemas.microsoft.com/office/drawing/2014/main" id="{728CCC6A-6B03-3064-E27B-AE7CEA7D98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12</xdr:row>
          <xdr:rowOff>25400</xdr:rowOff>
        </xdr:from>
        <xdr:to>
          <xdr:col>4</xdr:col>
          <xdr:colOff>584200</xdr:colOff>
          <xdr:row>13</xdr:row>
          <xdr:rowOff>57150</xdr:rowOff>
        </xdr:to>
        <xdr:sp macro="" textlink="">
          <xdr:nvSpPr>
            <xdr:cNvPr id="3050" name="Check Box 1002" hidden="1">
              <a:extLst>
                <a:ext uri="{63B3BB69-23CF-44E3-9099-C40C66FF867C}">
                  <a14:compatExt spid="_x0000_s3050"/>
                </a:ext>
                <a:ext uri="{FF2B5EF4-FFF2-40B4-BE49-F238E27FC236}">
                  <a16:creationId xmlns:a16="http://schemas.microsoft.com/office/drawing/2014/main" id="{4DDAEA53-EEE9-3FD4-A999-7004A3EEC8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13</xdr:row>
          <xdr:rowOff>25400</xdr:rowOff>
        </xdr:from>
        <xdr:to>
          <xdr:col>4</xdr:col>
          <xdr:colOff>584200</xdr:colOff>
          <xdr:row>14</xdr:row>
          <xdr:rowOff>57150</xdr:rowOff>
        </xdr:to>
        <xdr:sp macro="" textlink="">
          <xdr:nvSpPr>
            <xdr:cNvPr id="3051" name="Check Box 1003" hidden="1">
              <a:extLst>
                <a:ext uri="{63B3BB69-23CF-44E3-9099-C40C66FF867C}">
                  <a14:compatExt spid="_x0000_s3051"/>
                </a:ext>
                <a:ext uri="{FF2B5EF4-FFF2-40B4-BE49-F238E27FC236}">
                  <a16:creationId xmlns:a16="http://schemas.microsoft.com/office/drawing/2014/main" id="{6A057F21-62C0-017D-A86D-02849A5D51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14</xdr:row>
          <xdr:rowOff>25400</xdr:rowOff>
        </xdr:from>
        <xdr:to>
          <xdr:col>4</xdr:col>
          <xdr:colOff>584200</xdr:colOff>
          <xdr:row>15</xdr:row>
          <xdr:rowOff>57150</xdr:rowOff>
        </xdr:to>
        <xdr:sp macro="" textlink="">
          <xdr:nvSpPr>
            <xdr:cNvPr id="3052" name="Check Box 1004" hidden="1">
              <a:extLst>
                <a:ext uri="{63B3BB69-23CF-44E3-9099-C40C66FF867C}">
                  <a14:compatExt spid="_x0000_s3052"/>
                </a:ext>
                <a:ext uri="{FF2B5EF4-FFF2-40B4-BE49-F238E27FC236}">
                  <a16:creationId xmlns:a16="http://schemas.microsoft.com/office/drawing/2014/main" id="{50253F90-6CAA-EC6A-90AA-0DF2C97EC2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15</xdr:row>
          <xdr:rowOff>25400</xdr:rowOff>
        </xdr:from>
        <xdr:to>
          <xdr:col>4</xdr:col>
          <xdr:colOff>584200</xdr:colOff>
          <xdr:row>16</xdr:row>
          <xdr:rowOff>57150</xdr:rowOff>
        </xdr:to>
        <xdr:sp macro="" textlink="">
          <xdr:nvSpPr>
            <xdr:cNvPr id="3053" name="Check Box 1005" hidden="1">
              <a:extLst>
                <a:ext uri="{63B3BB69-23CF-44E3-9099-C40C66FF867C}">
                  <a14:compatExt spid="_x0000_s3053"/>
                </a:ext>
                <a:ext uri="{FF2B5EF4-FFF2-40B4-BE49-F238E27FC236}">
                  <a16:creationId xmlns:a16="http://schemas.microsoft.com/office/drawing/2014/main" id="{4FA7D5B3-A387-0366-23C1-2882801D8F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5A7F3-5887-4A87-B458-1E5FB82AC6BE}">
  <sheetPr codeName="Sheet1"/>
  <dimension ref="A1:Q44"/>
  <sheetViews>
    <sheetView showGridLines="0" zoomScale="70" zoomScaleNormal="70" workbookViewId="0">
      <selection activeCell="K3" sqref="K3:L3"/>
    </sheetView>
  </sheetViews>
  <sheetFormatPr defaultRowHeight="14.5"/>
  <cols>
    <col min="1" max="2" width="3.6328125" customWidth="1"/>
    <col min="3" max="3" width="18.6328125" customWidth="1"/>
    <col min="4" max="4" width="12.6328125" customWidth="1"/>
    <col min="5" max="5" width="14.6328125" customWidth="1"/>
    <col min="6" max="6" width="24.6328125" customWidth="1"/>
    <col min="7" max="7" width="14.6328125" customWidth="1"/>
    <col min="8" max="8" width="12.6328125" customWidth="1"/>
    <col min="9" max="9" width="14.6328125" customWidth="1"/>
    <col min="10" max="17" width="12.6328125" customWidth="1"/>
  </cols>
  <sheetData>
    <row r="1" spans="1:17">
      <c r="A1" s="53" t="s">
        <v>71</v>
      </c>
      <c r="B1" s="53"/>
      <c r="C1" s="53"/>
    </row>
    <row r="2" spans="1:17" ht="21" customHeight="1">
      <c r="A2" s="53"/>
      <c r="B2" s="53"/>
      <c r="C2" s="53"/>
      <c r="D2" s="61" t="s">
        <v>0</v>
      </c>
      <c r="E2" s="61"/>
      <c r="F2" s="61"/>
      <c r="G2" s="61"/>
      <c r="H2" s="61"/>
      <c r="I2" s="61"/>
      <c r="J2" s="61"/>
      <c r="K2" s="56" t="s">
        <v>77</v>
      </c>
      <c r="L2" s="57"/>
    </row>
    <row r="3" spans="1:17">
      <c r="A3" s="53"/>
      <c r="B3" s="53"/>
      <c r="C3" s="53"/>
      <c r="D3" s="61"/>
      <c r="E3" s="61"/>
      <c r="F3" s="61"/>
      <c r="G3" s="61"/>
      <c r="H3" s="61"/>
      <c r="I3" s="61"/>
      <c r="J3" s="61"/>
      <c r="K3" s="63">
        <v>46297</v>
      </c>
      <c r="L3" s="58"/>
    </row>
    <row r="4" spans="1:17">
      <c r="A4" s="53"/>
      <c r="B4" s="53"/>
      <c r="C4" s="53"/>
    </row>
    <row r="5" spans="1:17">
      <c r="A5" s="53"/>
      <c r="B5" s="53"/>
      <c r="C5" s="53"/>
      <c r="D5" t="s">
        <v>1</v>
      </c>
    </row>
    <row r="6" spans="1:17" ht="15" thickBot="1">
      <c r="A6" s="48"/>
      <c r="B6" s="49"/>
      <c r="C6" s="49"/>
    </row>
    <row r="7" spans="1:17" ht="15" thickTop="1">
      <c r="A7" s="48"/>
      <c r="B7" s="49"/>
      <c r="C7" s="50"/>
      <c r="D7" s="28" t="s">
        <v>2</v>
      </c>
      <c r="E7" s="29"/>
      <c r="F7" s="30"/>
      <c r="G7" s="37" t="s">
        <v>3</v>
      </c>
      <c r="H7" s="38"/>
      <c r="I7" s="39"/>
      <c r="J7" s="37" t="s">
        <v>4</v>
      </c>
      <c r="K7" s="38"/>
      <c r="L7" s="38"/>
      <c r="M7" s="39"/>
      <c r="N7" s="37" t="s">
        <v>5</v>
      </c>
      <c r="O7" s="38"/>
      <c r="P7" s="38"/>
      <c r="Q7" s="39"/>
    </row>
    <row r="8" spans="1:17" ht="23.5">
      <c r="A8" s="48"/>
      <c r="B8" s="49"/>
      <c r="C8" s="50"/>
      <c r="D8" s="31" t="s">
        <v>78</v>
      </c>
      <c r="E8" s="32"/>
      <c r="F8" s="33"/>
      <c r="G8" s="40" t="s">
        <v>79</v>
      </c>
      <c r="H8" s="41"/>
      <c r="I8" s="42"/>
      <c r="J8" s="46" t="s">
        <v>76</v>
      </c>
      <c r="K8" s="41"/>
      <c r="L8" s="41"/>
      <c r="M8" s="42"/>
      <c r="N8" s="47">
        <v>0.26666666666666666</v>
      </c>
      <c r="O8" s="41"/>
      <c r="P8" s="41"/>
      <c r="Q8" s="42"/>
    </row>
    <row r="9" spans="1:17" ht="15" thickBot="1">
      <c r="A9" s="54" t="s">
        <v>72</v>
      </c>
      <c r="B9" s="54"/>
      <c r="C9" s="54"/>
      <c r="D9" s="34"/>
      <c r="E9" s="35"/>
      <c r="F9" s="36"/>
      <c r="G9" s="43"/>
      <c r="H9" s="44"/>
      <c r="I9" s="45"/>
      <c r="J9" s="43"/>
      <c r="K9" s="44"/>
      <c r="L9" s="44"/>
      <c r="M9" s="45"/>
      <c r="N9" s="43"/>
      <c r="O9" s="44"/>
      <c r="P9" s="44"/>
      <c r="Q9" s="45"/>
    </row>
    <row r="10" spans="1:17" ht="15" thickTop="1">
      <c r="A10" s="54"/>
      <c r="B10" s="54"/>
      <c r="C10" s="54"/>
    </row>
    <row r="11" spans="1:17">
      <c r="A11" s="54"/>
      <c r="B11" s="54"/>
      <c r="C11" s="54"/>
    </row>
    <row r="12" spans="1:17" ht="16" thickBot="1">
      <c r="A12" s="54" t="s">
        <v>73</v>
      </c>
      <c r="B12" s="54"/>
      <c r="C12" s="54"/>
      <c r="D12" s="6" t="s">
        <v>6</v>
      </c>
      <c r="E12" s="6"/>
      <c r="F12" s="6"/>
      <c r="G12" s="6"/>
      <c r="H12" s="6"/>
      <c r="I12" s="6"/>
      <c r="K12" t="s">
        <v>7</v>
      </c>
    </row>
    <row r="13" spans="1:17">
      <c r="A13" s="54"/>
      <c r="B13" s="54"/>
      <c r="C13" s="54"/>
      <c r="D13" t="s">
        <v>64</v>
      </c>
      <c r="E13" t="s">
        <v>51</v>
      </c>
      <c r="F13" s="5"/>
      <c r="H13" s="5" t="s">
        <v>65</v>
      </c>
      <c r="I13" s="5" t="s">
        <v>12</v>
      </c>
      <c r="K13" s="14" t="s">
        <v>57</v>
      </c>
      <c r="L13" s="14" t="s">
        <v>58</v>
      </c>
      <c r="M13" s="14" t="s">
        <v>59</v>
      </c>
      <c r="N13" s="14" t="s">
        <v>60</v>
      </c>
      <c r="O13" s="14" t="s">
        <v>61</v>
      </c>
      <c r="P13" s="14" t="s">
        <v>62</v>
      </c>
      <c r="Q13" s="14" t="s">
        <v>63</v>
      </c>
    </row>
    <row r="14" spans="1:17">
      <c r="A14" s="54"/>
      <c r="B14" s="54"/>
      <c r="C14" s="54"/>
      <c r="D14" s="7" t="s">
        <v>23</v>
      </c>
      <c r="E14" s="9">
        <f>IFERROR(COUNTIFS(RoutineDB!$D:$D,D14,RoutineDB!$E:$E,TRUE,RoutineDB!$A:$A,$K$3)/COUNTIFS(RoutineDB!$D:$D,D14,RoutineDB!$A:$A,$K$3),0)</f>
        <v>0</v>
      </c>
      <c r="F14" s="10"/>
      <c r="G14" s="9"/>
      <c r="H14" s="11"/>
      <c r="I14" s="12">
        <f>SUMIFS(RoutineDB!$G:$G,RoutineDB!$D:$D,D14,RoutineDB!$A:$A,$K$3)/60</f>
        <v>5.5</v>
      </c>
      <c r="K14" s="13">
        <f>DATE(YEAR($K$3),MONTH($K$3),1)-WEEKDAY(DATE(YEAR($K$3),MONTH($K$3),1),2)+1</f>
        <v>46293</v>
      </c>
      <c r="L14" s="13">
        <f>K14+1</f>
        <v>46294</v>
      </c>
      <c r="M14" s="13">
        <f t="shared" ref="M14:Q14" si="0">L14+1</f>
        <v>46295</v>
      </c>
      <c r="N14" s="13">
        <f t="shared" si="0"/>
        <v>46296</v>
      </c>
      <c r="O14" s="13">
        <f t="shared" si="0"/>
        <v>46297</v>
      </c>
      <c r="P14" s="13">
        <f t="shared" si="0"/>
        <v>46298</v>
      </c>
      <c r="Q14" s="13">
        <f t="shared" si="0"/>
        <v>46299</v>
      </c>
    </row>
    <row r="15" spans="1:17">
      <c r="A15" s="54" t="s">
        <v>74</v>
      </c>
      <c r="B15" s="54"/>
      <c r="C15" s="55"/>
      <c r="D15" s="7" t="s">
        <v>37</v>
      </c>
      <c r="E15" s="9">
        <f>IFERROR(COUNTIFS(RoutineDB!$D:$D,D15,RoutineDB!$E:$E,TRUE,RoutineDB!$A:$A,$K$3)/COUNTIFS(RoutineDB!$D:$D,D15,RoutineDB!$A:$A,$K$3),0)</f>
        <v>0</v>
      </c>
      <c r="F15" s="9"/>
      <c r="G15" s="9"/>
      <c r="H15" s="11"/>
      <c r="I15" s="12">
        <f>SUMIFS(RoutineDB!$G:$G,RoutineDB!$D:$D,D15,RoutineDB!$A:$A,$K$3)/60</f>
        <v>1</v>
      </c>
      <c r="K15" s="13">
        <f>K14+7</f>
        <v>46300</v>
      </c>
      <c r="L15" s="13">
        <f t="shared" ref="L15:Q15" si="1">L14+7</f>
        <v>46301</v>
      </c>
      <c r="M15" s="13">
        <f t="shared" si="1"/>
        <v>46302</v>
      </c>
      <c r="N15" s="13">
        <f t="shared" si="1"/>
        <v>46303</v>
      </c>
      <c r="O15" s="13">
        <f t="shared" si="1"/>
        <v>46304</v>
      </c>
      <c r="P15" s="13">
        <f t="shared" si="1"/>
        <v>46305</v>
      </c>
      <c r="Q15" s="13">
        <f t="shared" si="1"/>
        <v>46306</v>
      </c>
    </row>
    <row r="16" spans="1:17">
      <c r="A16" s="54"/>
      <c r="B16" s="54"/>
      <c r="C16" s="55"/>
      <c r="D16" s="7" t="s">
        <v>55</v>
      </c>
      <c r="E16" s="9">
        <f>IFERROR(COUNTIFS(RoutineDB!$D:$D,D16,RoutineDB!$E:$E,TRUE,RoutineDB!$A:$A,$K$3)/COUNTIFS(RoutineDB!$D:$D,D16,RoutineDB!$A:$A,$K$3),0)</f>
        <v>0</v>
      </c>
      <c r="F16" s="9"/>
      <c r="G16" s="9"/>
      <c r="H16" s="11"/>
      <c r="I16" s="12">
        <f>SUMIFS(RoutineDB!$G:$G,RoutineDB!$D:$D,D16,RoutineDB!$A:$A,$K$3)/60</f>
        <v>0</v>
      </c>
      <c r="K16" s="13">
        <f t="shared" ref="K16:K19" si="2">K15+7</f>
        <v>46307</v>
      </c>
      <c r="L16" s="13">
        <f t="shared" ref="L16:L19" si="3">L15+7</f>
        <v>46308</v>
      </c>
      <c r="M16" s="13">
        <f t="shared" ref="M16:M19" si="4">M15+7</f>
        <v>46309</v>
      </c>
      <c r="N16" s="13">
        <f t="shared" ref="N16:N19" si="5">N15+7</f>
        <v>46310</v>
      </c>
      <c r="O16" s="13">
        <f t="shared" ref="O16:O19" si="6">O15+7</f>
        <v>46311</v>
      </c>
      <c r="P16" s="13">
        <f t="shared" ref="P16:P19" si="7">P15+7</f>
        <v>46312</v>
      </c>
      <c r="Q16" s="13">
        <f t="shared" ref="Q16:Q19" si="8">Q15+7</f>
        <v>46313</v>
      </c>
    </row>
    <row r="17" spans="1:17">
      <c r="A17" s="54"/>
      <c r="B17" s="54"/>
      <c r="C17" s="55"/>
      <c r="D17" s="7" t="s">
        <v>32</v>
      </c>
      <c r="E17" s="9">
        <f>IFERROR(COUNTIFS(RoutineDB!$D:$D,D17,RoutineDB!$E:$E,TRUE,RoutineDB!$A:$A,$K$3)/COUNTIFS(RoutineDB!$D:$D,D17,RoutineDB!$A:$A,$K$3),0)</f>
        <v>0</v>
      </c>
      <c r="F17" s="9"/>
      <c r="G17" s="9"/>
      <c r="H17" s="11"/>
      <c r="I17" s="12">
        <f>SUMIFS(RoutineDB!$G:$G,RoutineDB!$D:$D,D17,RoutineDB!$A:$A,$K$3)/60</f>
        <v>1.5</v>
      </c>
      <c r="K17" s="13">
        <f t="shared" si="2"/>
        <v>46314</v>
      </c>
      <c r="L17" s="13">
        <f t="shared" si="3"/>
        <v>46315</v>
      </c>
      <c r="M17" s="13">
        <f t="shared" si="4"/>
        <v>46316</v>
      </c>
      <c r="N17" s="13">
        <f t="shared" si="5"/>
        <v>46317</v>
      </c>
      <c r="O17" s="13">
        <f t="shared" si="6"/>
        <v>46318</v>
      </c>
      <c r="P17" s="13">
        <f t="shared" si="7"/>
        <v>46319</v>
      </c>
      <c r="Q17" s="13">
        <f t="shared" si="8"/>
        <v>46320</v>
      </c>
    </row>
    <row r="18" spans="1:17">
      <c r="A18" s="54" t="s">
        <v>75</v>
      </c>
      <c r="B18" s="54"/>
      <c r="C18" s="54"/>
      <c r="D18" s="7" t="s">
        <v>56</v>
      </c>
      <c r="E18" s="9">
        <f>IFERROR(COUNTIFS(RoutineDB!$D:$D,D18,RoutineDB!$E:$E,TRUE,RoutineDB!$A:$A,$K$3)/COUNTIFS(RoutineDB!$D:$D,D18,RoutineDB!$A:$A,$K$3),0)</f>
        <v>0</v>
      </c>
      <c r="F18" s="9"/>
      <c r="G18" s="9"/>
      <c r="H18" s="11"/>
      <c r="I18" s="12">
        <f>SUMIFS(RoutineDB!$G:$G,RoutineDB!$D:$D,D18,RoutineDB!$A:$A,$K$3)/60</f>
        <v>0</v>
      </c>
      <c r="K18" s="13">
        <f t="shared" si="2"/>
        <v>46321</v>
      </c>
      <c r="L18" s="13">
        <f t="shared" si="3"/>
        <v>46322</v>
      </c>
      <c r="M18" s="13">
        <f t="shared" si="4"/>
        <v>46323</v>
      </c>
      <c r="N18" s="13">
        <f t="shared" si="5"/>
        <v>46324</v>
      </c>
      <c r="O18" s="13">
        <f t="shared" si="6"/>
        <v>46325</v>
      </c>
      <c r="P18" s="13">
        <f t="shared" si="7"/>
        <v>46326</v>
      </c>
      <c r="Q18" s="13">
        <f t="shared" si="8"/>
        <v>46327</v>
      </c>
    </row>
    <row r="19" spans="1:17">
      <c r="A19" s="54"/>
      <c r="B19" s="54"/>
      <c r="C19" s="54"/>
      <c r="K19" s="13">
        <f t="shared" si="2"/>
        <v>46328</v>
      </c>
      <c r="L19" s="13">
        <f t="shared" si="3"/>
        <v>46329</v>
      </c>
      <c r="M19" s="13">
        <f t="shared" si="4"/>
        <v>46330</v>
      </c>
      <c r="N19" s="13">
        <f t="shared" si="5"/>
        <v>46331</v>
      </c>
      <c r="O19" s="13">
        <f t="shared" si="6"/>
        <v>46332</v>
      </c>
      <c r="P19" s="13">
        <f t="shared" si="7"/>
        <v>46333</v>
      </c>
      <c r="Q19" s="13">
        <f t="shared" si="8"/>
        <v>46334</v>
      </c>
    </row>
    <row r="20" spans="1:17">
      <c r="A20" s="54"/>
      <c r="B20" s="54"/>
      <c r="C20" s="54"/>
    </row>
    <row r="21" spans="1:17">
      <c r="A21" s="48"/>
      <c r="B21" s="48"/>
      <c r="C21" s="48"/>
      <c r="D21" t="s">
        <v>8</v>
      </c>
    </row>
    <row r="22" spans="1:17">
      <c r="A22" s="48"/>
      <c r="B22" s="48"/>
      <c r="C22" s="48"/>
      <c r="D22" s="15" t="s">
        <v>66</v>
      </c>
      <c r="E22" s="15" t="s">
        <v>67</v>
      </c>
      <c r="F22" s="15" t="s">
        <v>68</v>
      </c>
      <c r="G22" s="15"/>
      <c r="H22" s="15"/>
      <c r="I22" s="15" t="s">
        <v>69</v>
      </c>
      <c r="J22" s="15" t="s">
        <v>70</v>
      </c>
    </row>
    <row r="23" spans="1:17">
      <c r="A23" s="48"/>
      <c r="B23" s="48"/>
      <c r="C23" s="48"/>
      <c r="D23" s="17">
        <v>46297</v>
      </c>
      <c r="E23" s="18">
        <v>0.25</v>
      </c>
      <c r="F23" s="8" t="s">
        <v>17</v>
      </c>
      <c r="G23" s="16"/>
      <c r="H23" s="16"/>
      <c r="I23" s="9" t="s">
        <v>18</v>
      </c>
      <c r="J23" s="9" t="s">
        <v>54</v>
      </c>
      <c r="K23" s="19" t="s">
        <v>9</v>
      </c>
      <c r="L23" s="20"/>
      <c r="M23" s="20"/>
      <c r="N23" s="20"/>
      <c r="O23" s="20"/>
      <c r="P23" s="20"/>
      <c r="Q23" s="20"/>
    </row>
    <row r="24" spans="1:17">
      <c r="A24" s="48"/>
      <c r="B24" s="48"/>
      <c r="C24" s="48"/>
      <c r="D24" s="17">
        <v>46297</v>
      </c>
      <c r="E24" s="18" t="s">
        <v>19</v>
      </c>
      <c r="F24" s="8" t="s">
        <v>20</v>
      </c>
      <c r="G24" s="16"/>
      <c r="H24" s="16"/>
      <c r="I24" s="9" t="s">
        <v>18</v>
      </c>
      <c r="J24" s="9" t="s">
        <v>54</v>
      </c>
      <c r="K24" s="59">
        <f>IFERROR(INDEX(Historyy!$E:$E,MATCH(K30,Historyy!$A:$A,0)),0)</f>
        <v>0</v>
      </c>
      <c r="L24" s="51">
        <f>IFERROR(INDEX(Historyy!$E:$E,MATCH(L30,Historyy!$A:$A,0)),0)</f>
        <v>6.6666666666666666E-2</v>
      </c>
      <c r="M24" s="51">
        <f>IFERROR(INDEX(Historyy!$E:$E,MATCH(M30,Historyy!$A:$A,0)),0)</f>
        <v>6.6666666666666666E-2</v>
      </c>
      <c r="N24" s="51">
        <f>IFERROR(INDEX(Historyy!$E:$E,MATCH(N30,Historyy!$A:$A,0)),0)</f>
        <v>0</v>
      </c>
      <c r="O24" s="51">
        <f>IFERROR(INDEX(Historyy!$E:$E,MATCH(O30,Historyy!$A:$A,0)),0)</f>
        <v>0.13333333333333333</v>
      </c>
      <c r="P24" s="51">
        <f>IFERROR(INDEX(Historyy!$E:$E,MATCH(P30,Historyy!$A:$A,0)),0)</f>
        <v>6.6666666666666666E-2</v>
      </c>
      <c r="Q24" s="51">
        <f>IFERROR(INDEX(Historyy!$E:$E,MATCH(Q30,Historyy!$A:$A,0)),0)</f>
        <v>0.26666666666666666</v>
      </c>
    </row>
    <row r="25" spans="1:17">
      <c r="A25" s="48"/>
      <c r="B25" s="48"/>
      <c r="C25" s="48"/>
      <c r="D25" s="17">
        <v>46297</v>
      </c>
      <c r="E25" s="18" t="s">
        <v>21</v>
      </c>
      <c r="F25" s="8" t="s">
        <v>22</v>
      </c>
      <c r="G25" s="16"/>
      <c r="H25" s="16"/>
      <c r="I25" s="9" t="s">
        <v>23</v>
      </c>
      <c r="J25" s="9" t="s">
        <v>53</v>
      </c>
      <c r="K25" s="60"/>
      <c r="L25" s="52"/>
      <c r="M25" s="52"/>
      <c r="N25" s="52"/>
      <c r="O25" s="52"/>
      <c r="P25" s="52"/>
      <c r="Q25" s="52"/>
    </row>
    <row r="26" spans="1:17">
      <c r="A26" s="48"/>
      <c r="B26" s="48"/>
      <c r="C26" s="48"/>
      <c r="D26" s="17">
        <v>46297</v>
      </c>
      <c r="E26" s="18" t="s">
        <v>24</v>
      </c>
      <c r="F26" s="8" t="s">
        <v>25</v>
      </c>
      <c r="G26" s="16"/>
      <c r="H26" s="16"/>
      <c r="I26" s="9" t="s">
        <v>18</v>
      </c>
      <c r="J26" s="9" t="s">
        <v>53</v>
      </c>
      <c r="K26" s="60"/>
      <c r="L26" s="52"/>
      <c r="M26" s="52"/>
      <c r="N26" s="52"/>
      <c r="O26" s="52"/>
      <c r="P26" s="52"/>
      <c r="Q26" s="52"/>
    </row>
    <row r="27" spans="1:17">
      <c r="A27" s="48"/>
      <c r="B27" s="48"/>
      <c r="C27" s="48"/>
      <c r="D27" s="17">
        <v>46297</v>
      </c>
      <c r="E27" s="18" t="s">
        <v>26</v>
      </c>
      <c r="F27" s="8" t="s">
        <v>27</v>
      </c>
      <c r="G27" s="16"/>
      <c r="H27" s="16"/>
      <c r="I27" s="9" t="s">
        <v>23</v>
      </c>
      <c r="J27" s="9" t="s">
        <v>53</v>
      </c>
      <c r="K27" s="60"/>
      <c r="L27" s="52"/>
      <c r="M27" s="52"/>
      <c r="N27" s="52"/>
      <c r="O27" s="52"/>
      <c r="P27" s="52"/>
      <c r="Q27" s="52"/>
    </row>
    <row r="28" spans="1:17">
      <c r="A28" s="48"/>
      <c r="B28" s="48"/>
      <c r="C28" s="48"/>
      <c r="D28" s="17">
        <v>46297</v>
      </c>
      <c r="E28" s="18" t="s">
        <v>28</v>
      </c>
      <c r="F28" s="8" t="s">
        <v>29</v>
      </c>
      <c r="G28" s="16"/>
      <c r="H28" s="16"/>
      <c r="I28" s="9" t="s">
        <v>18</v>
      </c>
      <c r="J28" s="9" t="s">
        <v>53</v>
      </c>
      <c r="K28" s="60"/>
      <c r="L28" s="52"/>
      <c r="M28" s="52"/>
      <c r="N28" s="52"/>
      <c r="O28" s="52"/>
      <c r="P28" s="52"/>
      <c r="Q28" s="52"/>
    </row>
    <row r="29" spans="1:17">
      <c r="A29" s="48"/>
      <c r="B29" s="48"/>
      <c r="C29" s="48"/>
      <c r="D29" s="17">
        <v>46297</v>
      </c>
      <c r="E29" s="18" t="s">
        <v>30</v>
      </c>
      <c r="F29" s="8" t="s">
        <v>31</v>
      </c>
      <c r="G29" s="16"/>
      <c r="H29" s="16"/>
      <c r="I29" s="9" t="s">
        <v>32</v>
      </c>
      <c r="J29" s="9" t="s">
        <v>53</v>
      </c>
      <c r="K29" s="60"/>
      <c r="L29" s="52"/>
      <c r="M29" s="52"/>
      <c r="N29" s="52"/>
      <c r="O29" s="52"/>
      <c r="P29" s="52"/>
      <c r="Q29" s="52"/>
    </row>
    <row r="30" spans="1:17">
      <c r="A30" s="48"/>
      <c r="B30" s="48"/>
      <c r="C30" s="48"/>
      <c r="D30" s="17">
        <v>46297</v>
      </c>
      <c r="E30" s="18" t="s">
        <v>33</v>
      </c>
      <c r="F30" s="8" t="s">
        <v>25</v>
      </c>
      <c r="G30" s="16"/>
      <c r="H30" s="16"/>
      <c r="I30" s="9" t="s">
        <v>18</v>
      </c>
      <c r="J30" s="9" t="s">
        <v>53</v>
      </c>
      <c r="K30" s="21">
        <v>46291</v>
      </c>
      <c r="L30" s="21">
        <v>46292</v>
      </c>
      <c r="M30" s="21">
        <v>46293</v>
      </c>
      <c r="N30" s="21">
        <v>46294</v>
      </c>
      <c r="O30" s="21">
        <v>46295</v>
      </c>
      <c r="P30" s="21">
        <v>46296</v>
      </c>
      <c r="Q30" s="21">
        <v>46297</v>
      </c>
    </row>
    <row r="31" spans="1:17">
      <c r="A31" s="48"/>
      <c r="B31" s="48"/>
      <c r="C31" s="48"/>
      <c r="D31" s="17">
        <v>46297</v>
      </c>
      <c r="E31" s="18" t="s">
        <v>34</v>
      </c>
      <c r="F31" s="8" t="s">
        <v>35</v>
      </c>
      <c r="G31" s="16"/>
      <c r="H31" s="16"/>
      <c r="I31" s="9" t="s">
        <v>18</v>
      </c>
      <c r="J31" s="9" t="s">
        <v>53</v>
      </c>
    </row>
    <row r="32" spans="1:17">
      <c r="A32" s="48"/>
      <c r="B32" s="48"/>
      <c r="C32" s="48"/>
      <c r="D32" s="17">
        <v>46297</v>
      </c>
      <c r="E32" s="18" t="s">
        <v>36</v>
      </c>
      <c r="F32" s="8" t="s">
        <v>37</v>
      </c>
      <c r="G32" s="16"/>
      <c r="H32" s="16"/>
      <c r="I32" s="9" t="s">
        <v>37</v>
      </c>
      <c r="J32" s="9" t="s">
        <v>53</v>
      </c>
    </row>
    <row r="33" spans="1:17">
      <c r="A33" s="48"/>
      <c r="B33" s="48"/>
      <c r="C33" s="48"/>
      <c r="D33" s="17">
        <v>46297</v>
      </c>
      <c r="E33" s="18" t="s">
        <v>38</v>
      </c>
      <c r="F33" s="8" t="s">
        <v>39</v>
      </c>
      <c r="G33" s="16"/>
      <c r="H33" s="16"/>
      <c r="I33" s="9" t="s">
        <v>18</v>
      </c>
      <c r="J33" s="9" t="s">
        <v>53</v>
      </c>
    </row>
    <row r="34" spans="1:17">
      <c r="A34" s="48"/>
      <c r="B34" s="48"/>
      <c r="C34" s="48"/>
      <c r="D34" s="17">
        <v>46297</v>
      </c>
      <c r="E34" s="18" t="s">
        <v>40</v>
      </c>
      <c r="F34" s="8" t="s">
        <v>41</v>
      </c>
      <c r="G34" s="16"/>
      <c r="H34" s="16"/>
      <c r="I34" s="9" t="s">
        <v>23</v>
      </c>
      <c r="J34" s="9" t="s">
        <v>53</v>
      </c>
      <c r="K34" s="19" t="s">
        <v>10</v>
      </c>
      <c r="L34" s="20"/>
      <c r="M34" s="20"/>
      <c r="N34" s="20"/>
      <c r="O34" s="20"/>
      <c r="P34" s="20"/>
      <c r="Q34" s="20"/>
    </row>
    <row r="35" spans="1:17">
      <c r="A35" s="48"/>
      <c r="B35" s="48"/>
      <c r="C35" s="48"/>
      <c r="D35" s="17">
        <v>46297</v>
      </c>
      <c r="E35" s="18" t="s">
        <v>42</v>
      </c>
      <c r="F35" s="8" t="s">
        <v>43</v>
      </c>
      <c r="G35" s="16"/>
      <c r="H35" s="16"/>
      <c r="I35" s="9" t="s">
        <v>44</v>
      </c>
      <c r="J35" s="9" t="s">
        <v>53</v>
      </c>
      <c r="K35" s="64">
        <v>46297</v>
      </c>
      <c r="L35" s="22"/>
      <c r="M35" s="23">
        <v>0.26666666666666666</v>
      </c>
      <c r="N35" s="22"/>
      <c r="O35" s="24">
        <v>1</v>
      </c>
      <c r="P35" s="25"/>
      <c r="Q35" s="25"/>
    </row>
    <row r="36" spans="1:17">
      <c r="A36" s="48"/>
      <c r="B36" s="48"/>
      <c r="C36" s="48"/>
      <c r="D36" s="17">
        <v>46297</v>
      </c>
      <c r="E36" s="18" t="s">
        <v>45</v>
      </c>
      <c r="F36" s="8" t="s">
        <v>46</v>
      </c>
      <c r="G36" s="16"/>
      <c r="H36" s="16"/>
      <c r="I36" s="9" t="s">
        <v>18</v>
      </c>
      <c r="J36" s="9" t="s">
        <v>54</v>
      </c>
      <c r="K36" s="65">
        <v>46296</v>
      </c>
      <c r="L36" s="25"/>
      <c r="M36" s="26">
        <v>6.6666666666666666E-2</v>
      </c>
      <c r="N36" s="25"/>
      <c r="O36" s="27">
        <v>0</v>
      </c>
      <c r="P36" s="25"/>
      <c r="Q36" s="25"/>
    </row>
    <row r="37" spans="1:17">
      <c r="A37" s="48"/>
      <c r="B37" s="48"/>
      <c r="C37" s="48"/>
      <c r="D37" s="17">
        <v>46297</v>
      </c>
      <c r="E37" s="18">
        <v>0.9375</v>
      </c>
      <c r="F37" s="8" t="s">
        <v>47</v>
      </c>
      <c r="G37" s="16"/>
      <c r="H37" s="16"/>
      <c r="I37" s="9" t="s">
        <v>18</v>
      </c>
      <c r="J37" s="9" t="s">
        <v>54</v>
      </c>
      <c r="K37" s="65">
        <v>46295</v>
      </c>
      <c r="L37" s="25"/>
      <c r="M37" s="26">
        <v>0.13333333333333333</v>
      </c>
      <c r="N37" s="25"/>
      <c r="O37" s="27">
        <v>0.5</v>
      </c>
      <c r="P37" s="25"/>
      <c r="Q37" s="25"/>
    </row>
    <row r="38" spans="1:17">
      <c r="A38" s="48"/>
      <c r="B38" s="48"/>
      <c r="C38" s="48"/>
      <c r="K38" s="65">
        <v>46293</v>
      </c>
      <c r="L38" s="25"/>
      <c r="M38" s="26">
        <v>6.6666666666666666E-2</v>
      </c>
      <c r="N38" s="25"/>
      <c r="O38" s="27">
        <v>0</v>
      </c>
      <c r="P38" s="25"/>
      <c r="Q38" s="25"/>
    </row>
    <row r="39" spans="1:17">
      <c r="A39" s="48"/>
      <c r="B39" s="48"/>
      <c r="C39" s="48"/>
      <c r="K39" s="65">
        <v>46292</v>
      </c>
      <c r="L39" s="25"/>
      <c r="M39" s="26">
        <v>6.6666666666666666E-2</v>
      </c>
      <c r="N39" s="25"/>
      <c r="O39" s="27">
        <v>0</v>
      </c>
      <c r="P39" s="25"/>
      <c r="Q39" s="25"/>
    </row>
    <row r="42" spans="1:17">
      <c r="K42" s="5"/>
      <c r="L42" s="5"/>
    </row>
    <row r="43" spans="1:17">
      <c r="K43" s="3"/>
      <c r="L43" s="2"/>
    </row>
    <row r="44" spans="1:17">
      <c r="K44" s="3"/>
      <c r="L44" s="2"/>
    </row>
  </sheetData>
  <mergeCells count="15">
    <mergeCell ref="P24:P29"/>
    <mergeCell ref="Q24:Q29"/>
    <mergeCell ref="A1:C5"/>
    <mergeCell ref="A9:C11"/>
    <mergeCell ref="A12:C14"/>
    <mergeCell ref="A15:C17"/>
    <mergeCell ref="A18:C20"/>
    <mergeCell ref="K2:L2"/>
    <mergeCell ref="K3:L3"/>
    <mergeCell ref="K24:K29"/>
    <mergeCell ref="L24:L29"/>
    <mergeCell ref="M24:M29"/>
    <mergeCell ref="N24:N29"/>
    <mergeCell ref="O24:O29"/>
    <mergeCell ref="D2:J3"/>
  </mergeCells>
  <conditionalFormatting sqref="E14:E18">
    <cfRule type="dataBar" priority="4">
      <dataBar>
        <cfvo type="num" val="0"/>
        <cfvo type="num" val="1"/>
        <color rgb="FF008AEF"/>
      </dataBar>
      <extLst>
        <ext xmlns:x14="http://schemas.microsoft.com/office/spreadsheetml/2009/9/main" uri="{B025F937-C7B1-47D3-B67F-A62EFF666E3E}">
          <x14:id>{DCD7317F-0432-47EE-933F-2B76E75F10BC}</x14:id>
        </ext>
      </extLst>
    </cfRule>
  </conditionalFormatting>
  <conditionalFormatting sqref="K14:Q19">
    <cfRule type="expression" dxfId="4" priority="3">
      <formula>MONTH(K14)&lt;&gt;MONTH($K$3)</formula>
    </cfRule>
    <cfRule type="expression" dxfId="3" priority="8">
      <formula>K14=$K$3</formula>
    </cfRule>
  </conditionalFormatting>
  <conditionalFormatting sqref="K24:Q24">
    <cfRule type="dataBar" priority="7">
      <dataBar>
        <cfvo type="num" val="0"/>
        <cfvo type="num" val="1"/>
        <color rgb="FFFFB628"/>
      </dataBar>
      <extLst>
        <ext xmlns:x14="http://schemas.microsoft.com/office/spreadsheetml/2009/9/main" uri="{B025F937-C7B1-47D3-B67F-A62EFF666E3E}">
          <x14:id>{B7D80115-8D04-4794-B088-A716D1AA6980}</x14:id>
        </ext>
      </extLst>
    </cfRule>
  </conditionalFormatting>
  <conditionalFormatting sqref="K30:Q30">
    <cfRule type="expression" dxfId="2" priority="6">
      <formula>K30=$K$3</formula>
    </cfRule>
  </conditionalFormatting>
  <conditionalFormatting sqref="J23:J37">
    <cfRule type="containsText" dxfId="1" priority="1" operator="containsText" text="DONE">
      <formula>NOT(ISERROR(SEARCH("DONE",J23)))</formula>
    </cfRule>
  </conditionalFormatting>
  <hyperlinks>
    <hyperlink ref="A9" location="'Daily Routine'!A1" display="Daily Routine" xr:uid="{226D5EE1-FF81-4C84-89A2-E507B4BB6971}"/>
    <hyperlink ref="A12" location="Historyy!A1" display="History" xr:uid="{9185E302-BC73-4940-A4F7-7DFA1D6484C5}"/>
    <hyperlink ref="A15" location="RoutineDB!A1" display="RoutineDB" xr:uid="{4C3589C4-75E4-46D6-9DE5-5A4EB410DDE1}"/>
    <hyperlink ref="A18" location="DateList!A1" display="DateList" xr:uid="{AF850F7C-A59E-4F5C-81E6-81F533C34B73}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CD7317F-0432-47EE-933F-2B76E75F10BC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008AEF"/>
              <x14:negativeFillColor rgb="FFFF0000"/>
              <x14:negativeBorderColor rgb="FFFF0000"/>
              <x14:axisColor rgb="FF000000"/>
            </x14:dataBar>
          </x14:cfRule>
          <xm:sqref>E14:E18</xm:sqref>
        </x14:conditionalFormatting>
        <x14:conditionalFormatting xmlns:xm="http://schemas.microsoft.com/office/excel/2006/main">
          <x14:cfRule type="dataBar" id="{B7D80115-8D04-4794-B088-A716D1AA6980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rgb="FF000000"/>
              <x14:negativeFillColor rgb="FFFF0000"/>
              <x14:axisColor rgb="FF000000"/>
            </x14:dataBar>
          </x14:cfRule>
          <xm:sqref>K24:Q24</xm:sqref>
        </x14:conditionalFormatting>
        <x14:conditionalFormatting xmlns:xm="http://schemas.microsoft.com/office/excel/2006/main">
          <x14:cfRule type="containsText" priority="2" operator="containsText" id="{C84B18EB-3C75-4E17-ABA6-2F563FB7F4D8}">
            <xm:f>NOT(ISERROR(SEARCH("-",J23)))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J23:J37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ECAE628-66BB-4806-AAE1-821F758EE76E}">
          <x14:formula1>
            <xm:f>DateList!$A$2:$A$100</xm:f>
          </x14:formula1>
          <xm:sqref>K3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250A1-8A6D-4816-8DA5-66449A90459B}">
  <sheetPr codeName="Sheet2"/>
  <dimension ref="A1:F16"/>
  <sheetViews>
    <sheetView workbookViewId="0">
      <selection activeCell="B16" sqref="B16"/>
    </sheetView>
  </sheetViews>
  <sheetFormatPr defaultRowHeight="14.5"/>
  <cols>
    <col min="1" max="1" width="10.453125" bestFit="1" customWidth="1"/>
    <col min="2" max="2" width="11.453125" bestFit="1" customWidth="1"/>
    <col min="3" max="3" width="27.08984375" bestFit="1" customWidth="1"/>
    <col min="4" max="4" width="9" bestFit="1" customWidth="1"/>
  </cols>
  <sheetData>
    <row r="1" spans="1:6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</row>
    <row r="2" spans="1:6">
      <c r="A2" s="62">
        <v>46297</v>
      </c>
      <c r="B2" s="1">
        <v>0.25</v>
      </c>
      <c r="C2" t="s">
        <v>17</v>
      </c>
      <c r="D2" t="s">
        <v>18</v>
      </c>
      <c r="E2" t="b">
        <v>0</v>
      </c>
    </row>
    <row r="3" spans="1:6">
      <c r="A3" s="62">
        <v>46297</v>
      </c>
      <c r="B3" t="s">
        <v>19</v>
      </c>
      <c r="C3" t="s">
        <v>20</v>
      </c>
      <c r="D3" t="s">
        <v>18</v>
      </c>
      <c r="E3" t="b">
        <v>0</v>
      </c>
    </row>
    <row r="4" spans="1:6">
      <c r="A4" s="62">
        <v>46297</v>
      </c>
      <c r="B4" t="s">
        <v>21</v>
      </c>
      <c r="C4" t="s">
        <v>22</v>
      </c>
      <c r="D4" t="s">
        <v>23</v>
      </c>
      <c r="E4" t="b">
        <v>0</v>
      </c>
    </row>
    <row r="5" spans="1:6">
      <c r="A5" s="62">
        <v>46297</v>
      </c>
      <c r="B5" t="s">
        <v>24</v>
      </c>
      <c r="C5" t="s">
        <v>25</v>
      </c>
      <c r="D5" t="s">
        <v>18</v>
      </c>
      <c r="E5" t="b">
        <v>0</v>
      </c>
    </row>
    <row r="6" spans="1:6">
      <c r="A6" s="62">
        <v>46297</v>
      </c>
      <c r="B6" t="s">
        <v>26</v>
      </c>
      <c r="C6" t="s">
        <v>27</v>
      </c>
      <c r="D6" t="s">
        <v>23</v>
      </c>
      <c r="E6" t="b">
        <v>0</v>
      </c>
    </row>
    <row r="7" spans="1:6">
      <c r="A7" s="62">
        <v>46297</v>
      </c>
      <c r="B7" t="s">
        <v>28</v>
      </c>
      <c r="C7" t="s">
        <v>29</v>
      </c>
      <c r="D7" t="s">
        <v>18</v>
      </c>
      <c r="E7" t="b">
        <v>0</v>
      </c>
    </row>
    <row r="8" spans="1:6">
      <c r="A8" s="62">
        <v>46297</v>
      </c>
      <c r="B8" t="s">
        <v>30</v>
      </c>
      <c r="C8" t="s">
        <v>31</v>
      </c>
      <c r="D8" t="s">
        <v>32</v>
      </c>
      <c r="E8" t="b">
        <v>0</v>
      </c>
    </row>
    <row r="9" spans="1:6">
      <c r="A9" s="62">
        <v>46297</v>
      </c>
      <c r="B9" t="s">
        <v>33</v>
      </c>
      <c r="C9" t="s">
        <v>25</v>
      </c>
      <c r="D9" t="s">
        <v>18</v>
      </c>
      <c r="E9" t="b">
        <v>0</v>
      </c>
    </row>
    <row r="10" spans="1:6">
      <c r="A10" s="62">
        <v>46297</v>
      </c>
      <c r="B10" t="s">
        <v>34</v>
      </c>
      <c r="C10" t="s">
        <v>35</v>
      </c>
      <c r="D10" t="s">
        <v>18</v>
      </c>
      <c r="E10" t="b">
        <v>0</v>
      </c>
    </row>
    <row r="11" spans="1:6">
      <c r="A11" s="62">
        <v>46297</v>
      </c>
      <c r="B11" t="s">
        <v>36</v>
      </c>
      <c r="C11" t="s">
        <v>37</v>
      </c>
      <c r="D11" t="s">
        <v>37</v>
      </c>
      <c r="E11" t="b">
        <v>0</v>
      </c>
    </row>
    <row r="12" spans="1:6">
      <c r="A12" s="62">
        <v>46297</v>
      </c>
      <c r="B12" t="s">
        <v>38</v>
      </c>
      <c r="C12" t="s">
        <v>39</v>
      </c>
      <c r="D12" t="s">
        <v>18</v>
      </c>
      <c r="E12" t="b">
        <v>0</v>
      </c>
    </row>
    <row r="13" spans="1:6">
      <c r="A13" s="62">
        <v>46297</v>
      </c>
      <c r="B13" t="s">
        <v>40</v>
      </c>
      <c r="C13" t="s">
        <v>41</v>
      </c>
      <c r="D13" t="s">
        <v>23</v>
      </c>
      <c r="E13" t="b">
        <v>0</v>
      </c>
    </row>
    <row r="14" spans="1:6">
      <c r="A14" s="62">
        <v>46297</v>
      </c>
      <c r="B14" t="s">
        <v>42</v>
      </c>
      <c r="C14" t="s">
        <v>43</v>
      </c>
      <c r="D14" t="s">
        <v>44</v>
      </c>
      <c r="E14" t="b">
        <v>0</v>
      </c>
    </row>
    <row r="15" spans="1:6">
      <c r="A15" s="62">
        <v>46297</v>
      </c>
      <c r="B15" t="s">
        <v>45</v>
      </c>
      <c r="C15" t="s">
        <v>46</v>
      </c>
      <c r="D15" t="s">
        <v>18</v>
      </c>
      <c r="E15" t="b">
        <v>0</v>
      </c>
    </row>
    <row r="16" spans="1:6">
      <c r="A16" s="62">
        <v>46297</v>
      </c>
      <c r="B16" s="1">
        <v>0.9375</v>
      </c>
      <c r="C16" t="s">
        <v>47</v>
      </c>
      <c r="D16" t="s">
        <v>18</v>
      </c>
      <c r="E16" t="b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9" r:id="rId3" name="Check Box 991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1</xdr:row>
                    <xdr:rowOff>25400</xdr:rowOff>
                  </from>
                  <to>
                    <xdr:col>4</xdr:col>
                    <xdr:colOff>584200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0" r:id="rId4" name="Check Box 992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2</xdr:row>
                    <xdr:rowOff>25400</xdr:rowOff>
                  </from>
                  <to>
                    <xdr:col>4</xdr:col>
                    <xdr:colOff>584200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1" r:id="rId5" name="Check Box 993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3</xdr:row>
                    <xdr:rowOff>25400</xdr:rowOff>
                  </from>
                  <to>
                    <xdr:col>4</xdr:col>
                    <xdr:colOff>584200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2" r:id="rId6" name="Check Box 994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4</xdr:row>
                    <xdr:rowOff>25400</xdr:rowOff>
                  </from>
                  <to>
                    <xdr:col>4</xdr:col>
                    <xdr:colOff>584200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3" r:id="rId7" name="Check Box 995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5</xdr:row>
                    <xdr:rowOff>25400</xdr:rowOff>
                  </from>
                  <to>
                    <xdr:col>4</xdr:col>
                    <xdr:colOff>584200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4" r:id="rId8" name="Check Box 996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6</xdr:row>
                    <xdr:rowOff>25400</xdr:rowOff>
                  </from>
                  <to>
                    <xdr:col>4</xdr:col>
                    <xdr:colOff>584200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5" r:id="rId9" name="Check Box 997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7</xdr:row>
                    <xdr:rowOff>25400</xdr:rowOff>
                  </from>
                  <to>
                    <xdr:col>4</xdr:col>
                    <xdr:colOff>584200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6" r:id="rId10" name="Check Box 998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8</xdr:row>
                    <xdr:rowOff>25400</xdr:rowOff>
                  </from>
                  <to>
                    <xdr:col>4</xdr:col>
                    <xdr:colOff>584200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7" r:id="rId11" name="Check Box 999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9</xdr:row>
                    <xdr:rowOff>25400</xdr:rowOff>
                  </from>
                  <to>
                    <xdr:col>4</xdr:col>
                    <xdr:colOff>584200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8" r:id="rId12" name="Check Box 1000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10</xdr:row>
                    <xdr:rowOff>25400</xdr:rowOff>
                  </from>
                  <to>
                    <xdr:col>4</xdr:col>
                    <xdr:colOff>584200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9" r:id="rId13" name="Check Box 1001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11</xdr:row>
                    <xdr:rowOff>25400</xdr:rowOff>
                  </from>
                  <to>
                    <xdr:col>4</xdr:col>
                    <xdr:colOff>584200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0" r:id="rId14" name="Check Box 1002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12</xdr:row>
                    <xdr:rowOff>25400</xdr:rowOff>
                  </from>
                  <to>
                    <xdr:col>4</xdr:col>
                    <xdr:colOff>584200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" r:id="rId15" name="Check Box 1003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13</xdr:row>
                    <xdr:rowOff>25400</xdr:rowOff>
                  </from>
                  <to>
                    <xdr:col>4</xdr:col>
                    <xdr:colOff>584200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2" r:id="rId16" name="Check Box 1004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14</xdr:row>
                    <xdr:rowOff>25400</xdr:rowOff>
                  </from>
                  <to>
                    <xdr:col>4</xdr:col>
                    <xdr:colOff>584200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3" r:id="rId17" name="Check Box 1005">
              <controlPr defaultSize="0" autoFill="0" autoLine="0" autoPict="0" macro="[0]!CheckboxChanged">
                <anchor moveWithCells="1">
                  <from>
                    <xdr:col>4</xdr:col>
                    <xdr:colOff>25400</xdr:colOff>
                    <xdr:row>15</xdr:row>
                    <xdr:rowOff>25400</xdr:rowOff>
                  </from>
                  <to>
                    <xdr:col>4</xdr:col>
                    <xdr:colOff>584200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E2483-6B6D-462E-BCD5-64A5DCDA9A67}">
  <sheetPr codeName="Sheet3"/>
  <dimension ref="A1:G76"/>
  <sheetViews>
    <sheetView workbookViewId="0">
      <selection activeCell="K14" sqref="K14"/>
    </sheetView>
  </sheetViews>
  <sheetFormatPr defaultRowHeight="14.5"/>
  <cols>
    <col min="1" max="1" width="10.453125" bestFit="1" customWidth="1"/>
    <col min="6" max="6" width="7.26953125" bestFit="1" customWidth="1"/>
    <col min="7" max="7" width="12.7265625" bestFit="1" customWidth="1"/>
  </cols>
  <sheetData>
    <row r="1" spans="1:7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48</v>
      </c>
    </row>
    <row r="2" spans="1:7">
      <c r="A2" s="62">
        <v>46297</v>
      </c>
      <c r="B2">
        <v>0.25</v>
      </c>
      <c r="C2" t="s">
        <v>17</v>
      </c>
      <c r="D2" t="s">
        <v>18</v>
      </c>
      <c r="E2" t="b">
        <v>1</v>
      </c>
      <c r="G2">
        <v>0</v>
      </c>
    </row>
    <row r="3" spans="1:7">
      <c r="A3" s="62">
        <v>46297</v>
      </c>
      <c r="B3" t="s">
        <v>19</v>
      </c>
      <c r="C3" t="s">
        <v>20</v>
      </c>
      <c r="D3" t="s">
        <v>18</v>
      </c>
      <c r="E3" t="b">
        <v>1</v>
      </c>
      <c r="G3">
        <v>30</v>
      </c>
    </row>
    <row r="4" spans="1:7">
      <c r="A4" s="62">
        <v>46297</v>
      </c>
      <c r="B4" t="s">
        <v>21</v>
      </c>
      <c r="C4" t="s">
        <v>22</v>
      </c>
      <c r="D4" t="s">
        <v>23</v>
      </c>
      <c r="E4" t="b">
        <v>0</v>
      </c>
      <c r="G4">
        <v>120</v>
      </c>
    </row>
    <row r="5" spans="1:7">
      <c r="A5" s="62">
        <v>46297</v>
      </c>
      <c r="B5" t="s">
        <v>24</v>
      </c>
      <c r="C5" t="s">
        <v>25</v>
      </c>
      <c r="D5" t="s">
        <v>18</v>
      </c>
      <c r="E5" t="b">
        <v>0</v>
      </c>
      <c r="G5">
        <v>30</v>
      </c>
    </row>
    <row r="6" spans="1:7">
      <c r="A6" s="62">
        <v>46297</v>
      </c>
      <c r="B6" t="s">
        <v>26</v>
      </c>
      <c r="C6" t="s">
        <v>27</v>
      </c>
      <c r="D6" t="s">
        <v>23</v>
      </c>
      <c r="E6" t="b">
        <v>0</v>
      </c>
      <c r="G6">
        <v>120</v>
      </c>
    </row>
    <row r="7" spans="1:7">
      <c r="A7" s="62">
        <v>46297</v>
      </c>
      <c r="B7" t="s">
        <v>28</v>
      </c>
      <c r="C7" t="s">
        <v>29</v>
      </c>
      <c r="D7" t="s">
        <v>18</v>
      </c>
      <c r="E7" t="b">
        <v>0</v>
      </c>
      <c r="G7">
        <v>90</v>
      </c>
    </row>
    <row r="8" spans="1:7">
      <c r="A8" s="62">
        <v>46297</v>
      </c>
      <c r="B8" t="s">
        <v>30</v>
      </c>
      <c r="C8" t="s">
        <v>31</v>
      </c>
      <c r="D8" t="s">
        <v>32</v>
      </c>
      <c r="E8" t="b">
        <v>0</v>
      </c>
      <c r="G8">
        <v>90</v>
      </c>
    </row>
    <row r="9" spans="1:7">
      <c r="A9" s="62">
        <v>46297</v>
      </c>
      <c r="B9" t="s">
        <v>33</v>
      </c>
      <c r="C9" t="s">
        <v>25</v>
      </c>
      <c r="D9" t="s">
        <v>18</v>
      </c>
      <c r="E9" t="b">
        <v>0</v>
      </c>
      <c r="G9">
        <v>60</v>
      </c>
    </row>
    <row r="10" spans="1:7">
      <c r="A10" s="62">
        <v>46297</v>
      </c>
      <c r="B10" t="s">
        <v>34</v>
      </c>
      <c r="C10" t="s">
        <v>35</v>
      </c>
      <c r="D10" t="s">
        <v>18</v>
      </c>
      <c r="E10" t="b">
        <v>0</v>
      </c>
      <c r="G10">
        <v>30</v>
      </c>
    </row>
    <row r="11" spans="1:7">
      <c r="A11" s="62">
        <v>46297</v>
      </c>
      <c r="B11" t="s">
        <v>36</v>
      </c>
      <c r="C11" t="s">
        <v>37</v>
      </c>
      <c r="D11" t="s">
        <v>37</v>
      </c>
      <c r="E11" t="b">
        <v>0</v>
      </c>
      <c r="G11">
        <v>60</v>
      </c>
    </row>
    <row r="12" spans="1:7">
      <c r="A12" s="62">
        <v>46297</v>
      </c>
      <c r="B12" t="s">
        <v>38</v>
      </c>
      <c r="C12" t="s">
        <v>39</v>
      </c>
      <c r="D12" t="s">
        <v>18</v>
      </c>
      <c r="E12" t="b">
        <v>0</v>
      </c>
      <c r="G12">
        <v>150</v>
      </c>
    </row>
    <row r="13" spans="1:7">
      <c r="A13" s="62">
        <v>46297</v>
      </c>
      <c r="B13" t="s">
        <v>40</v>
      </c>
      <c r="C13" t="s">
        <v>41</v>
      </c>
      <c r="D13" t="s">
        <v>23</v>
      </c>
      <c r="E13" t="b">
        <v>0</v>
      </c>
      <c r="G13">
        <v>90</v>
      </c>
    </row>
    <row r="14" spans="1:7">
      <c r="A14" s="62">
        <v>46297</v>
      </c>
      <c r="B14" t="s">
        <v>42</v>
      </c>
      <c r="C14" t="s">
        <v>43</v>
      </c>
      <c r="D14" t="s">
        <v>44</v>
      </c>
      <c r="E14" t="b">
        <v>0</v>
      </c>
      <c r="G14">
        <v>60</v>
      </c>
    </row>
    <row r="15" spans="1:7">
      <c r="A15" s="62">
        <v>46297</v>
      </c>
      <c r="B15" t="s">
        <v>45</v>
      </c>
      <c r="C15" t="s">
        <v>46</v>
      </c>
      <c r="D15" t="s">
        <v>18</v>
      </c>
      <c r="E15" t="b">
        <v>1</v>
      </c>
      <c r="G15">
        <v>30</v>
      </c>
    </row>
    <row r="16" spans="1:7">
      <c r="A16" s="62">
        <v>46297</v>
      </c>
      <c r="B16">
        <v>0.9375</v>
      </c>
      <c r="C16" t="s">
        <v>47</v>
      </c>
      <c r="D16" t="s">
        <v>18</v>
      </c>
      <c r="E16" t="b">
        <v>1</v>
      </c>
      <c r="G16">
        <v>0</v>
      </c>
    </row>
    <row r="17" spans="1:7">
      <c r="A17" s="62">
        <v>46295</v>
      </c>
      <c r="B17">
        <v>0.25</v>
      </c>
      <c r="C17" t="s">
        <v>17</v>
      </c>
      <c r="D17" t="s">
        <v>18</v>
      </c>
      <c r="E17" t="b">
        <v>1</v>
      </c>
      <c r="G17">
        <v>0</v>
      </c>
    </row>
    <row r="18" spans="1:7">
      <c r="A18" s="62">
        <v>46295</v>
      </c>
      <c r="B18" t="s">
        <v>19</v>
      </c>
      <c r="C18" t="s">
        <v>20</v>
      </c>
      <c r="D18" t="s">
        <v>18</v>
      </c>
      <c r="E18" t="b">
        <v>1</v>
      </c>
      <c r="G18">
        <v>30</v>
      </c>
    </row>
    <row r="19" spans="1:7">
      <c r="A19" s="62">
        <v>46295</v>
      </c>
      <c r="B19" t="s">
        <v>21</v>
      </c>
      <c r="C19" t="s">
        <v>22</v>
      </c>
      <c r="D19" t="s">
        <v>23</v>
      </c>
      <c r="E19" t="b">
        <v>0</v>
      </c>
      <c r="G19">
        <v>120</v>
      </c>
    </row>
    <row r="20" spans="1:7">
      <c r="A20" s="62">
        <v>46295</v>
      </c>
      <c r="B20" t="s">
        <v>24</v>
      </c>
      <c r="C20" t="s">
        <v>25</v>
      </c>
      <c r="D20" t="s">
        <v>18</v>
      </c>
      <c r="E20" t="b">
        <v>0</v>
      </c>
      <c r="G20">
        <v>30</v>
      </c>
    </row>
    <row r="21" spans="1:7">
      <c r="A21" s="62">
        <v>46295</v>
      </c>
      <c r="B21" t="s">
        <v>26</v>
      </c>
      <c r="C21" t="s">
        <v>27</v>
      </c>
      <c r="D21" t="s">
        <v>23</v>
      </c>
      <c r="E21" t="b">
        <v>0</v>
      </c>
      <c r="G21">
        <v>120</v>
      </c>
    </row>
    <row r="22" spans="1:7">
      <c r="A22" s="62">
        <v>46295</v>
      </c>
      <c r="B22" t="s">
        <v>28</v>
      </c>
      <c r="C22" t="s">
        <v>29</v>
      </c>
      <c r="D22" t="s">
        <v>18</v>
      </c>
      <c r="E22" t="b">
        <v>0</v>
      </c>
      <c r="G22">
        <v>90</v>
      </c>
    </row>
    <row r="23" spans="1:7">
      <c r="A23" s="62">
        <v>46295</v>
      </c>
      <c r="B23" t="s">
        <v>30</v>
      </c>
      <c r="C23" t="s">
        <v>31</v>
      </c>
      <c r="D23" t="s">
        <v>32</v>
      </c>
      <c r="E23" t="b">
        <v>0</v>
      </c>
      <c r="G23">
        <v>90</v>
      </c>
    </row>
    <row r="24" spans="1:7">
      <c r="A24" s="62">
        <v>46295</v>
      </c>
      <c r="B24" t="s">
        <v>33</v>
      </c>
      <c r="C24" t="s">
        <v>25</v>
      </c>
      <c r="D24" t="s">
        <v>18</v>
      </c>
      <c r="E24" t="b">
        <v>0</v>
      </c>
      <c r="G24">
        <v>60</v>
      </c>
    </row>
    <row r="25" spans="1:7">
      <c r="A25" s="62">
        <v>46295</v>
      </c>
      <c r="B25" t="s">
        <v>34</v>
      </c>
      <c r="C25" t="s">
        <v>35</v>
      </c>
      <c r="D25" t="s">
        <v>18</v>
      </c>
      <c r="E25" t="b">
        <v>0</v>
      </c>
      <c r="G25">
        <v>30</v>
      </c>
    </row>
    <row r="26" spans="1:7">
      <c r="A26" s="62">
        <v>46295</v>
      </c>
      <c r="B26" t="s">
        <v>36</v>
      </c>
      <c r="C26" t="s">
        <v>37</v>
      </c>
      <c r="D26" t="s">
        <v>37</v>
      </c>
      <c r="E26" t="b">
        <v>0</v>
      </c>
      <c r="G26">
        <v>60</v>
      </c>
    </row>
    <row r="27" spans="1:7">
      <c r="A27" s="62">
        <v>46295</v>
      </c>
      <c r="B27" t="s">
        <v>38</v>
      </c>
      <c r="C27" t="s">
        <v>39</v>
      </c>
      <c r="D27" t="s">
        <v>18</v>
      </c>
      <c r="E27" t="b">
        <v>0</v>
      </c>
      <c r="G27">
        <v>150</v>
      </c>
    </row>
    <row r="28" spans="1:7">
      <c r="A28" s="62">
        <v>46295</v>
      </c>
      <c r="B28" t="s">
        <v>40</v>
      </c>
      <c r="C28" t="s">
        <v>41</v>
      </c>
      <c r="D28" t="s">
        <v>23</v>
      </c>
      <c r="E28" t="b">
        <v>0</v>
      </c>
      <c r="G28">
        <v>90</v>
      </c>
    </row>
    <row r="29" spans="1:7">
      <c r="A29" s="62">
        <v>46295</v>
      </c>
      <c r="B29" t="s">
        <v>42</v>
      </c>
      <c r="C29" t="s">
        <v>43</v>
      </c>
      <c r="D29" t="s">
        <v>44</v>
      </c>
      <c r="E29" t="b">
        <v>0</v>
      </c>
      <c r="G29">
        <v>60</v>
      </c>
    </row>
    <row r="30" spans="1:7">
      <c r="A30" s="62">
        <v>46295</v>
      </c>
      <c r="B30" t="s">
        <v>45</v>
      </c>
      <c r="C30" t="s">
        <v>46</v>
      </c>
      <c r="D30" t="s">
        <v>18</v>
      </c>
      <c r="E30" t="b">
        <v>0</v>
      </c>
      <c r="G30">
        <v>30</v>
      </c>
    </row>
    <row r="31" spans="1:7">
      <c r="A31" s="62">
        <v>46295</v>
      </c>
      <c r="B31">
        <v>0.9375</v>
      </c>
      <c r="C31" t="s">
        <v>47</v>
      </c>
      <c r="D31" t="s">
        <v>18</v>
      </c>
      <c r="E31" t="b">
        <v>0</v>
      </c>
      <c r="G31">
        <v>0</v>
      </c>
    </row>
    <row r="32" spans="1:7">
      <c r="A32" s="62">
        <v>46292</v>
      </c>
      <c r="B32">
        <v>0.25</v>
      </c>
      <c r="C32" t="s">
        <v>17</v>
      </c>
      <c r="D32" t="s">
        <v>18</v>
      </c>
      <c r="E32" t="b">
        <v>1</v>
      </c>
      <c r="G32">
        <v>0</v>
      </c>
    </row>
    <row r="33" spans="1:7">
      <c r="A33" s="62">
        <v>46292</v>
      </c>
      <c r="B33" t="s">
        <v>19</v>
      </c>
      <c r="C33" t="s">
        <v>20</v>
      </c>
      <c r="D33" t="s">
        <v>18</v>
      </c>
      <c r="E33" t="b">
        <v>0</v>
      </c>
      <c r="G33">
        <v>30</v>
      </c>
    </row>
    <row r="34" spans="1:7">
      <c r="A34" s="62">
        <v>46292</v>
      </c>
      <c r="B34" t="s">
        <v>21</v>
      </c>
      <c r="C34" t="s">
        <v>22</v>
      </c>
      <c r="D34" t="s">
        <v>23</v>
      </c>
      <c r="E34" t="b">
        <v>0</v>
      </c>
      <c r="G34">
        <v>120</v>
      </c>
    </row>
    <row r="35" spans="1:7">
      <c r="A35" s="62">
        <v>46292</v>
      </c>
      <c r="B35" t="s">
        <v>24</v>
      </c>
      <c r="C35" t="s">
        <v>25</v>
      </c>
      <c r="D35" t="s">
        <v>18</v>
      </c>
      <c r="E35" t="b">
        <v>0</v>
      </c>
      <c r="G35">
        <v>30</v>
      </c>
    </row>
    <row r="36" spans="1:7">
      <c r="A36" s="62">
        <v>46292</v>
      </c>
      <c r="B36" t="s">
        <v>26</v>
      </c>
      <c r="C36" t="s">
        <v>27</v>
      </c>
      <c r="D36" t="s">
        <v>23</v>
      </c>
      <c r="E36" t="b">
        <v>0</v>
      </c>
      <c r="G36">
        <v>120</v>
      </c>
    </row>
    <row r="37" spans="1:7">
      <c r="A37" s="62">
        <v>46292</v>
      </c>
      <c r="B37" t="s">
        <v>28</v>
      </c>
      <c r="C37" t="s">
        <v>29</v>
      </c>
      <c r="D37" t="s">
        <v>18</v>
      </c>
      <c r="E37" t="b">
        <v>0</v>
      </c>
      <c r="G37">
        <v>90</v>
      </c>
    </row>
    <row r="38" spans="1:7">
      <c r="A38" s="62">
        <v>46292</v>
      </c>
      <c r="B38" t="s">
        <v>30</v>
      </c>
      <c r="C38" t="s">
        <v>31</v>
      </c>
      <c r="D38" t="s">
        <v>32</v>
      </c>
      <c r="E38" t="b">
        <v>0</v>
      </c>
      <c r="G38">
        <v>90</v>
      </c>
    </row>
    <row r="39" spans="1:7">
      <c r="A39" s="62">
        <v>46292</v>
      </c>
      <c r="B39" t="s">
        <v>33</v>
      </c>
      <c r="C39" t="s">
        <v>25</v>
      </c>
      <c r="D39" t="s">
        <v>18</v>
      </c>
      <c r="E39" t="b">
        <v>0</v>
      </c>
      <c r="G39">
        <v>60</v>
      </c>
    </row>
    <row r="40" spans="1:7">
      <c r="A40" s="62">
        <v>46292</v>
      </c>
      <c r="B40" t="s">
        <v>34</v>
      </c>
      <c r="C40" t="s">
        <v>35</v>
      </c>
      <c r="D40" t="s">
        <v>18</v>
      </c>
      <c r="E40" t="b">
        <v>0</v>
      </c>
      <c r="G40">
        <v>30</v>
      </c>
    </row>
    <row r="41" spans="1:7">
      <c r="A41" s="62">
        <v>46292</v>
      </c>
      <c r="B41" t="s">
        <v>36</v>
      </c>
      <c r="C41" t="s">
        <v>37</v>
      </c>
      <c r="D41" t="s">
        <v>37</v>
      </c>
      <c r="E41" t="b">
        <v>0</v>
      </c>
      <c r="G41">
        <v>60</v>
      </c>
    </row>
    <row r="42" spans="1:7">
      <c r="A42" s="62">
        <v>46292</v>
      </c>
      <c r="B42" t="s">
        <v>38</v>
      </c>
      <c r="C42" t="s">
        <v>39</v>
      </c>
      <c r="D42" t="s">
        <v>18</v>
      </c>
      <c r="E42" t="b">
        <v>0</v>
      </c>
      <c r="G42">
        <v>150</v>
      </c>
    </row>
    <row r="43" spans="1:7">
      <c r="A43" s="62">
        <v>46292</v>
      </c>
      <c r="B43" t="s">
        <v>40</v>
      </c>
      <c r="C43" t="s">
        <v>41</v>
      </c>
      <c r="D43" t="s">
        <v>23</v>
      </c>
      <c r="E43" t="b">
        <v>0</v>
      </c>
      <c r="G43">
        <v>90</v>
      </c>
    </row>
    <row r="44" spans="1:7">
      <c r="A44" s="62">
        <v>46292</v>
      </c>
      <c r="B44" t="s">
        <v>42</v>
      </c>
      <c r="C44" t="s">
        <v>43</v>
      </c>
      <c r="D44" t="s">
        <v>44</v>
      </c>
      <c r="E44" t="b">
        <v>0</v>
      </c>
      <c r="G44">
        <v>60</v>
      </c>
    </row>
    <row r="45" spans="1:7">
      <c r="A45" s="62">
        <v>46292</v>
      </c>
      <c r="B45" t="s">
        <v>45</v>
      </c>
      <c r="C45" t="s">
        <v>46</v>
      </c>
      <c r="D45" t="s">
        <v>18</v>
      </c>
      <c r="E45" t="b">
        <v>0</v>
      </c>
      <c r="G45">
        <v>30</v>
      </c>
    </row>
    <row r="46" spans="1:7">
      <c r="A46" s="62">
        <v>46292</v>
      </c>
      <c r="B46">
        <v>0.9375</v>
      </c>
      <c r="C46" t="s">
        <v>47</v>
      </c>
      <c r="D46" t="s">
        <v>18</v>
      </c>
      <c r="E46" t="b">
        <v>0</v>
      </c>
      <c r="G46">
        <v>0</v>
      </c>
    </row>
    <row r="47" spans="1:7">
      <c r="A47" s="62">
        <v>46293</v>
      </c>
      <c r="B47">
        <v>0.25</v>
      </c>
      <c r="C47" t="s">
        <v>17</v>
      </c>
      <c r="D47" t="s">
        <v>18</v>
      </c>
      <c r="E47" t="b">
        <v>1</v>
      </c>
      <c r="G47">
        <v>0</v>
      </c>
    </row>
    <row r="48" spans="1:7">
      <c r="A48" s="62">
        <v>46293</v>
      </c>
      <c r="B48" t="s">
        <v>19</v>
      </c>
      <c r="C48" t="s">
        <v>20</v>
      </c>
      <c r="D48" t="s">
        <v>18</v>
      </c>
      <c r="E48" t="b">
        <v>0</v>
      </c>
      <c r="G48">
        <v>30</v>
      </c>
    </row>
    <row r="49" spans="1:7">
      <c r="A49" s="62">
        <v>46293</v>
      </c>
      <c r="B49" t="s">
        <v>21</v>
      </c>
      <c r="C49" t="s">
        <v>22</v>
      </c>
      <c r="D49" t="s">
        <v>23</v>
      </c>
      <c r="E49" t="b">
        <v>0</v>
      </c>
      <c r="G49">
        <v>120</v>
      </c>
    </row>
    <row r="50" spans="1:7">
      <c r="A50" s="62">
        <v>46293</v>
      </c>
      <c r="B50" t="s">
        <v>24</v>
      </c>
      <c r="C50" t="s">
        <v>25</v>
      </c>
      <c r="D50" t="s">
        <v>18</v>
      </c>
      <c r="E50" t="b">
        <v>0</v>
      </c>
      <c r="G50">
        <v>30</v>
      </c>
    </row>
    <row r="51" spans="1:7">
      <c r="A51" s="62">
        <v>46293</v>
      </c>
      <c r="B51" t="s">
        <v>26</v>
      </c>
      <c r="C51" t="s">
        <v>27</v>
      </c>
      <c r="D51" t="s">
        <v>23</v>
      </c>
      <c r="E51" t="b">
        <v>0</v>
      </c>
      <c r="G51">
        <v>120</v>
      </c>
    </row>
    <row r="52" spans="1:7">
      <c r="A52" s="62">
        <v>46293</v>
      </c>
      <c r="B52" t="s">
        <v>28</v>
      </c>
      <c r="C52" t="s">
        <v>29</v>
      </c>
      <c r="D52" t="s">
        <v>18</v>
      </c>
      <c r="E52" t="b">
        <v>0</v>
      </c>
      <c r="G52">
        <v>90</v>
      </c>
    </row>
    <row r="53" spans="1:7">
      <c r="A53" s="62">
        <v>46293</v>
      </c>
      <c r="B53" t="s">
        <v>30</v>
      </c>
      <c r="C53" t="s">
        <v>31</v>
      </c>
      <c r="D53" t="s">
        <v>32</v>
      </c>
      <c r="E53" t="b">
        <v>0</v>
      </c>
      <c r="G53">
        <v>90</v>
      </c>
    </row>
    <row r="54" spans="1:7">
      <c r="A54" s="62">
        <v>46293</v>
      </c>
      <c r="B54" t="s">
        <v>33</v>
      </c>
      <c r="C54" t="s">
        <v>25</v>
      </c>
      <c r="D54" t="s">
        <v>18</v>
      </c>
      <c r="E54" t="b">
        <v>0</v>
      </c>
      <c r="G54">
        <v>60</v>
      </c>
    </row>
    <row r="55" spans="1:7">
      <c r="A55" s="62">
        <v>46293</v>
      </c>
      <c r="B55" t="s">
        <v>34</v>
      </c>
      <c r="C55" t="s">
        <v>35</v>
      </c>
      <c r="D55" t="s">
        <v>18</v>
      </c>
      <c r="E55" t="b">
        <v>0</v>
      </c>
      <c r="G55">
        <v>30</v>
      </c>
    </row>
    <row r="56" spans="1:7">
      <c r="A56" s="62">
        <v>46293</v>
      </c>
      <c r="B56" t="s">
        <v>36</v>
      </c>
      <c r="C56" t="s">
        <v>37</v>
      </c>
      <c r="D56" t="s">
        <v>37</v>
      </c>
      <c r="E56" t="b">
        <v>0</v>
      </c>
      <c r="G56">
        <v>60</v>
      </c>
    </row>
    <row r="57" spans="1:7">
      <c r="A57" s="62">
        <v>46293</v>
      </c>
      <c r="B57" t="s">
        <v>38</v>
      </c>
      <c r="C57" t="s">
        <v>39</v>
      </c>
      <c r="D57" t="s">
        <v>18</v>
      </c>
      <c r="E57" t="b">
        <v>0</v>
      </c>
      <c r="G57">
        <v>150</v>
      </c>
    </row>
    <row r="58" spans="1:7">
      <c r="A58" s="62">
        <v>46293</v>
      </c>
      <c r="B58" t="s">
        <v>40</v>
      </c>
      <c r="C58" t="s">
        <v>41</v>
      </c>
      <c r="D58" t="s">
        <v>23</v>
      </c>
      <c r="E58" t="b">
        <v>0</v>
      </c>
      <c r="G58">
        <v>90</v>
      </c>
    </row>
    <row r="59" spans="1:7">
      <c r="A59" s="62">
        <v>46293</v>
      </c>
      <c r="B59" t="s">
        <v>42</v>
      </c>
      <c r="C59" t="s">
        <v>43</v>
      </c>
      <c r="D59" t="s">
        <v>44</v>
      </c>
      <c r="E59" t="b">
        <v>0</v>
      </c>
      <c r="G59">
        <v>60</v>
      </c>
    </row>
    <row r="60" spans="1:7">
      <c r="A60" s="62">
        <v>46293</v>
      </c>
      <c r="B60" t="s">
        <v>45</v>
      </c>
      <c r="C60" t="s">
        <v>46</v>
      </c>
      <c r="D60" t="s">
        <v>18</v>
      </c>
      <c r="E60" t="b">
        <v>0</v>
      </c>
      <c r="G60">
        <v>30</v>
      </c>
    </row>
    <row r="61" spans="1:7">
      <c r="A61" s="62">
        <v>46293</v>
      </c>
      <c r="B61">
        <v>0.9375</v>
      </c>
      <c r="C61" t="s">
        <v>47</v>
      </c>
      <c r="D61" t="s">
        <v>18</v>
      </c>
      <c r="E61" t="b">
        <v>0</v>
      </c>
      <c r="G61">
        <v>0</v>
      </c>
    </row>
    <row r="62" spans="1:7">
      <c r="A62" s="62">
        <v>46296</v>
      </c>
      <c r="B62">
        <v>0.25</v>
      </c>
      <c r="C62" t="s">
        <v>17</v>
      </c>
      <c r="D62" t="s">
        <v>18</v>
      </c>
      <c r="E62" t="b">
        <v>1</v>
      </c>
      <c r="G62">
        <v>0</v>
      </c>
    </row>
    <row r="63" spans="1:7">
      <c r="A63" s="62">
        <v>46296</v>
      </c>
      <c r="B63" t="s">
        <v>19</v>
      </c>
      <c r="C63" t="s">
        <v>20</v>
      </c>
      <c r="D63" t="s">
        <v>18</v>
      </c>
      <c r="E63" t="b">
        <v>0</v>
      </c>
      <c r="G63">
        <v>30</v>
      </c>
    </row>
    <row r="64" spans="1:7">
      <c r="A64" s="62">
        <v>46296</v>
      </c>
      <c r="B64" t="s">
        <v>21</v>
      </c>
      <c r="C64" t="s">
        <v>22</v>
      </c>
      <c r="D64" t="s">
        <v>23</v>
      </c>
      <c r="E64" t="b">
        <v>0</v>
      </c>
      <c r="G64">
        <v>120</v>
      </c>
    </row>
    <row r="65" spans="1:7">
      <c r="A65" s="62">
        <v>46296</v>
      </c>
      <c r="B65" t="s">
        <v>24</v>
      </c>
      <c r="C65" t="s">
        <v>25</v>
      </c>
      <c r="D65" t="s">
        <v>18</v>
      </c>
      <c r="E65" t="b">
        <v>0</v>
      </c>
      <c r="G65">
        <v>30</v>
      </c>
    </row>
    <row r="66" spans="1:7">
      <c r="A66" s="62">
        <v>46296</v>
      </c>
      <c r="B66" t="s">
        <v>26</v>
      </c>
      <c r="C66" t="s">
        <v>27</v>
      </c>
      <c r="D66" t="s">
        <v>23</v>
      </c>
      <c r="E66" t="b">
        <v>0</v>
      </c>
      <c r="G66">
        <v>120</v>
      </c>
    </row>
    <row r="67" spans="1:7">
      <c r="A67" s="62">
        <v>46296</v>
      </c>
      <c r="B67" t="s">
        <v>28</v>
      </c>
      <c r="C67" t="s">
        <v>29</v>
      </c>
      <c r="D67" t="s">
        <v>18</v>
      </c>
      <c r="E67" t="b">
        <v>0</v>
      </c>
      <c r="G67">
        <v>90</v>
      </c>
    </row>
    <row r="68" spans="1:7">
      <c r="A68" s="62">
        <v>46296</v>
      </c>
      <c r="B68" t="s">
        <v>30</v>
      </c>
      <c r="C68" t="s">
        <v>31</v>
      </c>
      <c r="D68" t="s">
        <v>32</v>
      </c>
      <c r="E68" t="b">
        <v>0</v>
      </c>
      <c r="G68">
        <v>90</v>
      </c>
    </row>
    <row r="69" spans="1:7">
      <c r="A69" s="62">
        <v>46296</v>
      </c>
      <c r="B69" t="s">
        <v>33</v>
      </c>
      <c r="C69" t="s">
        <v>25</v>
      </c>
      <c r="D69" t="s">
        <v>18</v>
      </c>
      <c r="E69" t="b">
        <v>0</v>
      </c>
      <c r="G69">
        <v>60</v>
      </c>
    </row>
    <row r="70" spans="1:7">
      <c r="A70" s="62">
        <v>46296</v>
      </c>
      <c r="B70" t="s">
        <v>34</v>
      </c>
      <c r="C70" t="s">
        <v>35</v>
      </c>
      <c r="D70" t="s">
        <v>18</v>
      </c>
      <c r="E70" t="b">
        <v>0</v>
      </c>
      <c r="G70">
        <v>30</v>
      </c>
    </row>
    <row r="71" spans="1:7">
      <c r="A71" s="62">
        <v>46296</v>
      </c>
      <c r="B71" t="s">
        <v>36</v>
      </c>
      <c r="C71" t="s">
        <v>37</v>
      </c>
      <c r="D71" t="s">
        <v>37</v>
      </c>
      <c r="E71" t="b">
        <v>0</v>
      </c>
      <c r="G71">
        <v>60</v>
      </c>
    </row>
    <row r="72" spans="1:7">
      <c r="A72" s="62">
        <v>46296</v>
      </c>
      <c r="B72" t="s">
        <v>38</v>
      </c>
      <c r="C72" t="s">
        <v>39</v>
      </c>
      <c r="D72" t="s">
        <v>18</v>
      </c>
      <c r="E72" t="b">
        <v>0</v>
      </c>
      <c r="G72">
        <v>150</v>
      </c>
    </row>
    <row r="73" spans="1:7">
      <c r="A73" s="62">
        <v>46296</v>
      </c>
      <c r="B73" t="s">
        <v>40</v>
      </c>
      <c r="C73" t="s">
        <v>41</v>
      </c>
      <c r="D73" t="s">
        <v>23</v>
      </c>
      <c r="E73" t="b">
        <v>0</v>
      </c>
      <c r="G73">
        <v>90</v>
      </c>
    </row>
    <row r="74" spans="1:7">
      <c r="A74" s="62">
        <v>46296</v>
      </c>
      <c r="B74" t="s">
        <v>42</v>
      </c>
      <c r="C74" t="s">
        <v>43</v>
      </c>
      <c r="D74" t="s">
        <v>44</v>
      </c>
      <c r="E74" t="b">
        <v>0</v>
      </c>
      <c r="G74">
        <v>60</v>
      </c>
    </row>
    <row r="75" spans="1:7">
      <c r="A75" s="62">
        <v>46296</v>
      </c>
      <c r="B75" t="s">
        <v>45</v>
      </c>
      <c r="C75" t="s">
        <v>46</v>
      </c>
      <c r="D75" t="s">
        <v>18</v>
      </c>
      <c r="E75" t="b">
        <v>0</v>
      </c>
      <c r="G75">
        <v>30</v>
      </c>
    </row>
    <row r="76" spans="1:7">
      <c r="A76" s="62">
        <v>46296</v>
      </c>
      <c r="B76">
        <v>0.9375</v>
      </c>
      <c r="C76" t="s">
        <v>47</v>
      </c>
      <c r="D76" t="s">
        <v>18</v>
      </c>
      <c r="E76" t="b">
        <v>0</v>
      </c>
      <c r="G76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707AE-6054-495C-B7E5-45FDE7D7797D}">
  <sheetPr codeName="Sheet4"/>
  <dimension ref="A1:F6"/>
  <sheetViews>
    <sheetView workbookViewId="0">
      <selection activeCell="A2" sqref="A2:F6"/>
    </sheetView>
  </sheetViews>
  <sheetFormatPr defaultRowHeight="14.5"/>
  <cols>
    <col min="1" max="1" width="10.453125" bestFit="1" customWidth="1"/>
    <col min="4" max="4" width="10.36328125" bestFit="1" customWidth="1"/>
  </cols>
  <sheetData>
    <row r="1" spans="1:6">
      <c r="A1" t="s">
        <v>11</v>
      </c>
      <c r="B1" t="s">
        <v>49</v>
      </c>
      <c r="C1" t="s">
        <v>15</v>
      </c>
      <c r="D1" t="s">
        <v>50</v>
      </c>
      <c r="E1" t="s">
        <v>51</v>
      </c>
      <c r="F1" t="s">
        <v>52</v>
      </c>
    </row>
    <row r="2" spans="1:6">
      <c r="A2" s="62">
        <v>46297</v>
      </c>
      <c r="B2">
        <v>15</v>
      </c>
      <c r="C2">
        <v>4</v>
      </c>
      <c r="D2">
        <v>60</v>
      </c>
      <c r="E2" s="2">
        <v>0.26666666666666666</v>
      </c>
    </row>
    <row r="3" spans="1:6">
      <c r="A3" s="62">
        <v>46296</v>
      </c>
      <c r="B3">
        <v>15</v>
      </c>
      <c r="C3">
        <v>1</v>
      </c>
      <c r="D3">
        <v>0</v>
      </c>
      <c r="E3" s="2">
        <v>6.6666666666666666E-2</v>
      </c>
    </row>
    <row r="4" spans="1:6">
      <c r="A4" s="62">
        <v>46295</v>
      </c>
      <c r="B4">
        <v>15</v>
      </c>
      <c r="C4">
        <v>2</v>
      </c>
      <c r="D4">
        <v>30</v>
      </c>
      <c r="E4" s="2">
        <v>0.13333333333333333</v>
      </c>
    </row>
    <row r="5" spans="1:6">
      <c r="A5" s="62">
        <v>46293</v>
      </c>
      <c r="B5">
        <v>15</v>
      </c>
      <c r="C5">
        <v>1</v>
      </c>
      <c r="D5">
        <v>0</v>
      </c>
      <c r="E5" s="2">
        <v>6.6666666666666666E-2</v>
      </c>
    </row>
    <row r="6" spans="1:6">
      <c r="A6" s="62">
        <v>46292</v>
      </c>
      <c r="B6">
        <v>15</v>
      </c>
      <c r="C6">
        <v>1</v>
      </c>
      <c r="D6">
        <v>0</v>
      </c>
      <c r="E6" s="2">
        <v>6.6666666666666666E-2</v>
      </c>
    </row>
  </sheetData>
  <sortState xmlns:xlrd2="http://schemas.microsoft.com/office/spreadsheetml/2017/richdata2" ref="A2:F6">
    <sortCondition descending="1" ref="A2:A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7F22B-6960-4363-A019-A22C7379483C}">
  <sheetPr codeName="Sheet5"/>
  <dimension ref="A1:A100"/>
  <sheetViews>
    <sheetView tabSelected="1" workbookViewId="0">
      <selection activeCell="A2" sqref="A2"/>
    </sheetView>
  </sheetViews>
  <sheetFormatPr defaultRowHeight="14.5"/>
  <cols>
    <col min="1" max="1" width="10.453125" bestFit="1" customWidth="1"/>
  </cols>
  <sheetData>
    <row r="1" spans="1:1">
      <c r="A1" t="s">
        <v>11</v>
      </c>
    </row>
    <row r="2" spans="1:1">
      <c r="A2" s="62">
        <v>46297</v>
      </c>
    </row>
    <row r="3" spans="1:1">
      <c r="A3" s="62">
        <v>46296</v>
      </c>
    </row>
    <row r="4" spans="1:1">
      <c r="A4" s="62">
        <v>46295</v>
      </c>
    </row>
    <row r="5" spans="1:1">
      <c r="A5" s="62">
        <v>46293</v>
      </c>
    </row>
    <row r="6" spans="1:1">
      <c r="A6" s="62">
        <v>46292</v>
      </c>
    </row>
    <row r="7" spans="1:1">
      <c r="A7" s="4"/>
    </row>
    <row r="8" spans="1:1">
      <c r="A8" s="4"/>
    </row>
    <row r="9" spans="1:1">
      <c r="A9" s="4"/>
    </row>
    <row r="10" spans="1:1">
      <c r="A10" s="4"/>
    </row>
    <row r="11" spans="1:1">
      <c r="A11" s="4"/>
    </row>
    <row r="12" spans="1:1">
      <c r="A12" s="4"/>
    </row>
    <row r="13" spans="1:1">
      <c r="A13" s="4"/>
    </row>
    <row r="14" spans="1:1">
      <c r="A14" s="4"/>
    </row>
    <row r="15" spans="1:1">
      <c r="A15" s="4"/>
    </row>
    <row r="16" spans="1:1">
      <c r="A16" s="4"/>
    </row>
    <row r="17" spans="1:1">
      <c r="A17" s="4"/>
    </row>
    <row r="18" spans="1:1">
      <c r="A18" s="4"/>
    </row>
    <row r="19" spans="1:1">
      <c r="A19" s="4"/>
    </row>
    <row r="20" spans="1:1">
      <c r="A20" s="4"/>
    </row>
    <row r="21" spans="1:1">
      <c r="A21" s="4"/>
    </row>
    <row r="22" spans="1:1">
      <c r="A22" s="4"/>
    </row>
    <row r="23" spans="1:1">
      <c r="A23" s="4"/>
    </row>
    <row r="24" spans="1:1">
      <c r="A24" s="4"/>
    </row>
    <row r="25" spans="1:1">
      <c r="A25" s="4"/>
    </row>
    <row r="26" spans="1:1">
      <c r="A26" s="4"/>
    </row>
    <row r="27" spans="1:1">
      <c r="A27" s="4"/>
    </row>
    <row r="28" spans="1:1">
      <c r="A28" s="4"/>
    </row>
    <row r="29" spans="1:1">
      <c r="A29" s="4"/>
    </row>
    <row r="30" spans="1:1">
      <c r="A30" s="4"/>
    </row>
    <row r="31" spans="1:1">
      <c r="A31" s="4"/>
    </row>
    <row r="32" spans="1:1">
      <c r="A32" s="4"/>
    </row>
    <row r="33" spans="1:1">
      <c r="A33" s="4"/>
    </row>
    <row r="34" spans="1:1">
      <c r="A34" s="4"/>
    </row>
    <row r="35" spans="1:1">
      <c r="A35" s="4"/>
    </row>
    <row r="36" spans="1:1">
      <c r="A36" s="4"/>
    </row>
    <row r="37" spans="1:1">
      <c r="A37" s="4"/>
    </row>
    <row r="38" spans="1:1">
      <c r="A38" s="4"/>
    </row>
    <row r="39" spans="1:1">
      <c r="A39" s="4"/>
    </row>
    <row r="40" spans="1:1">
      <c r="A40" s="4"/>
    </row>
    <row r="41" spans="1:1">
      <c r="A41" s="4"/>
    </row>
    <row r="42" spans="1:1">
      <c r="A42" s="4"/>
    </row>
    <row r="43" spans="1:1">
      <c r="A43" s="4"/>
    </row>
    <row r="44" spans="1:1">
      <c r="A44" s="4"/>
    </row>
    <row r="45" spans="1:1">
      <c r="A45" s="4"/>
    </row>
    <row r="46" spans="1:1">
      <c r="A46" s="4"/>
    </row>
    <row r="47" spans="1:1">
      <c r="A47" s="4"/>
    </row>
    <row r="48" spans="1:1">
      <c r="A48" s="4"/>
    </row>
    <row r="49" spans="1:1">
      <c r="A49" s="4"/>
    </row>
    <row r="50" spans="1:1">
      <c r="A50" s="4"/>
    </row>
    <row r="51" spans="1:1">
      <c r="A51" s="4"/>
    </row>
    <row r="52" spans="1:1">
      <c r="A52" s="4"/>
    </row>
    <row r="53" spans="1:1">
      <c r="A53" s="4"/>
    </row>
    <row r="54" spans="1:1">
      <c r="A54" s="4"/>
    </row>
    <row r="55" spans="1:1">
      <c r="A55" s="4"/>
    </row>
    <row r="56" spans="1:1">
      <c r="A56" s="4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  <row r="89" spans="1:1">
      <c r="A89" s="4"/>
    </row>
    <row r="90" spans="1:1">
      <c r="A90" s="4"/>
    </row>
    <row r="91" spans="1:1">
      <c r="A91" s="4"/>
    </row>
    <row r="92" spans="1:1">
      <c r="A92" s="4"/>
    </row>
    <row r="93" spans="1:1">
      <c r="A93" s="4"/>
    </row>
    <row r="94" spans="1:1">
      <c r="A94" s="4"/>
    </row>
    <row r="95" spans="1:1">
      <c r="A95" s="4"/>
    </row>
    <row r="96" spans="1:1">
      <c r="A96" s="4"/>
    </row>
    <row r="97" spans="1:1">
      <c r="A97" s="4"/>
    </row>
    <row r="98" spans="1:1">
      <c r="A98" s="4"/>
    </row>
    <row r="99" spans="1:1">
      <c r="A99" s="4"/>
    </row>
    <row r="100" spans="1:1">
      <c r="A100" s="4"/>
    </row>
  </sheetData>
  <sortState xmlns:xlrd2="http://schemas.microsoft.com/office/spreadsheetml/2017/richdata2" ref="A2:A6">
    <sortCondition descending="1" ref="A2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Daily Routine</vt:lpstr>
      <vt:lpstr>RoutineDB</vt:lpstr>
      <vt:lpstr>Historyy</vt:lpstr>
      <vt:lpstr>DateList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Ramdani</dc:creator>
  <cp:lastModifiedBy>Muhammad Ramdani</cp:lastModifiedBy>
  <dcterms:created xsi:type="dcterms:W3CDTF">2026-10-01T18:43:36Z</dcterms:created>
  <dcterms:modified xsi:type="dcterms:W3CDTF">2026-10-02T13:44:53Z</dcterms:modified>
</cp:coreProperties>
</file>