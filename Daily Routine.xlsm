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mdani\Desktop\Dailly Rountine\"/>
    </mc:Choice>
  </mc:AlternateContent>
  <xr:revisionPtr revIDLastSave="0" documentId="13_ncr:1_{AD22B217-B04B-48C3-B933-4A250EF441A4}" xr6:coauthVersionLast="47" xr6:coauthVersionMax="47" xr10:uidLastSave="{00000000-0000-0000-0000-000000000000}"/>
  <bookViews>
    <workbookView xWindow="-110" yWindow="-110" windowWidth="19420" windowHeight="10420" activeTab="1" xr2:uid="{574F71F4-A056-40D9-AE9B-7A87D73AD47B}"/>
  </bookViews>
  <sheets>
    <sheet name="Dashboard" sheetId="1" r:id="rId1"/>
    <sheet name="Daily Routine" sheetId="2" r:id="rId2"/>
    <sheet name="RoutineDB" sheetId="3" r:id="rId3"/>
    <sheet name="Historyy" sheetId="4" r:id="rId4"/>
    <sheet name="DateList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5" i="1" l="1"/>
  <c r="E14" i="1"/>
  <c r="E16" i="1"/>
  <c r="E17" i="1"/>
  <c r="E18" i="1"/>
  <c r="I15" i="1"/>
  <c r="I16" i="1"/>
  <c r="I17" i="1"/>
  <c r="I18" i="1"/>
  <c r="I14" i="1"/>
  <c r="K24" i="1"/>
  <c r="K14" i="1"/>
  <c r="K15" i="1" s="1"/>
  <c r="K16" i="1" s="1"/>
  <c r="K17" i="1" s="1"/>
  <c r="K18" i="1" s="1"/>
  <c r="K19" i="1" s="1"/>
  <c r="L14" i="1" l="1"/>
  <c r="M14" i="1" s="1"/>
  <c r="M15" i="1" s="1"/>
  <c r="M16" i="1" s="1"/>
  <c r="M17" i="1" s="1"/>
  <c r="M18" i="1" s="1"/>
  <c r="M19" i="1" s="1"/>
  <c r="L15" i="1" l="1"/>
  <c r="L16" i="1" s="1"/>
  <c r="L17" i="1" s="1"/>
  <c r="L18" i="1" s="1"/>
  <c r="L19" i="1" s="1"/>
  <c r="N14" i="1"/>
  <c r="O14" i="1" s="1"/>
  <c r="L24" i="1"/>
  <c r="N15" i="1" l="1"/>
  <c r="N16" i="1" s="1"/>
  <c r="N17" i="1" s="1"/>
  <c r="N18" i="1" s="1"/>
  <c r="N19" i="1" s="1"/>
  <c r="O15" i="1"/>
  <c r="O16" i="1" s="1"/>
  <c r="O17" i="1" s="1"/>
  <c r="O18" i="1" s="1"/>
  <c r="O19" i="1" s="1"/>
  <c r="P14" i="1"/>
  <c r="M24" i="1"/>
  <c r="N24" i="1" l="1"/>
  <c r="P15" i="1"/>
  <c r="P16" i="1" s="1"/>
  <c r="P17" i="1" s="1"/>
  <c r="P18" i="1" s="1"/>
  <c r="P19" i="1" s="1"/>
  <c r="Q14" i="1"/>
  <c r="Q15" i="1" s="1"/>
  <c r="Q16" i="1" s="1"/>
  <c r="Q17" i="1" s="1"/>
  <c r="Q18" i="1" s="1"/>
  <c r="Q19" i="1" s="1"/>
  <c r="O24" i="1" l="1"/>
  <c r="Q24" i="1" l="1"/>
  <c r="P24" i="1"/>
</calcChain>
</file>

<file path=xl/sharedStrings.xml><?xml version="1.0" encoding="utf-8"?>
<sst xmlns="http://schemas.openxmlformats.org/spreadsheetml/2006/main" count="247" uniqueCount="79">
  <si>
    <t>MY LEARNING DASHBOARD</t>
  </si>
  <si>
    <t>AKTIVITAS SELESAI</t>
  </si>
  <si>
    <t>TOTAL WAKTU</t>
  </si>
  <si>
    <t>STREAK</t>
  </si>
  <si>
    <t>TARGET PROGRESS</t>
  </si>
  <si>
    <t>PROGRESS PER SKILL</t>
  </si>
  <si>
    <t>KALENDER</t>
  </si>
  <si>
    <t>JADWAL HARI INI</t>
  </si>
  <si>
    <t>7 HARI TERAKHIR</t>
  </si>
  <si>
    <t>RIWAYAT TERAKHIR</t>
  </si>
  <si>
    <t>Tanggal</t>
  </si>
  <si>
    <t>Jam</t>
  </si>
  <si>
    <t>Aktivitas</t>
  </si>
  <si>
    <t>Kategori</t>
  </si>
  <si>
    <t>Selesai</t>
  </si>
  <si>
    <t>Catatan</t>
  </si>
  <si>
    <t>Bangun + beres-beres</t>
  </si>
  <si>
    <t>Routine</t>
  </si>
  <si>
    <t>06:30 - 07:00</t>
  </si>
  <si>
    <t>Sarapan</t>
  </si>
  <si>
    <t>07:00 - 09:00</t>
  </si>
  <si>
    <t>Full Stack - Materi</t>
  </si>
  <si>
    <t>Full Stack</t>
  </si>
  <si>
    <t>09:00 - 09:30</t>
  </si>
  <si>
    <t>Istirahat</t>
  </si>
  <si>
    <t>09:30 - 11:30</t>
  </si>
  <si>
    <t>Full Stack - Praktik</t>
  </si>
  <si>
    <t>11:30 - 13:00</t>
  </si>
  <si>
    <t>Zuhur + makan</t>
  </si>
  <si>
    <t>13:00 - 14:30</t>
  </si>
  <si>
    <t>Belajar Excel</t>
  </si>
  <si>
    <t>Excel</t>
  </si>
  <si>
    <t>14:30 - 15:30</t>
  </si>
  <si>
    <t>15:30 - 16:00</t>
  </si>
  <si>
    <t>Asar</t>
  </si>
  <si>
    <t>16:00 - 17:00</t>
  </si>
  <si>
    <t>English</t>
  </si>
  <si>
    <t>17:00 - 19:30</t>
  </si>
  <si>
    <t>Mandi + Magrib + makan + Isya</t>
  </si>
  <si>
    <t>19:30 - 21:00</t>
  </si>
  <si>
    <t>Full Stack - Project</t>
  </si>
  <si>
    <t>21:00 - 22:00</t>
  </si>
  <si>
    <t>Waktu bebas</t>
  </si>
  <si>
    <t>Free Time</t>
  </si>
  <si>
    <t>22:00 - 22:30</t>
  </si>
  <si>
    <t>Persiapan tidur</t>
  </si>
  <si>
    <t>Tidur</t>
  </si>
  <si>
    <t>Study Minutes</t>
  </si>
  <si>
    <t>Total Aktivitas</t>
  </si>
  <si>
    <t>Total Menit</t>
  </si>
  <si>
    <t>Progress</t>
  </si>
  <si>
    <t>Streak</t>
  </si>
  <si>
    <t>-</t>
  </si>
  <si>
    <t>DONE</t>
  </si>
  <si>
    <t>Jira</t>
  </si>
  <si>
    <t>Accurate</t>
  </si>
  <si>
    <t>Sen</t>
  </si>
  <si>
    <t>sel</t>
  </si>
  <si>
    <t>Rab</t>
  </si>
  <si>
    <t>Kam</t>
  </si>
  <si>
    <t>Jum</t>
  </si>
  <si>
    <t>Sab</t>
  </si>
  <si>
    <t>Min</t>
  </si>
  <si>
    <t>Skill</t>
  </si>
  <si>
    <t>%</t>
  </si>
  <si>
    <t>TANGGAL</t>
  </si>
  <si>
    <t>JAM</t>
  </si>
  <si>
    <t>AKTIVITAS</t>
  </si>
  <si>
    <t>KATEGORI</t>
  </si>
  <si>
    <t>STATUS</t>
  </si>
  <si>
    <t>MY LEARNING</t>
  </si>
  <si>
    <t>Daily Routine</t>
  </si>
  <si>
    <t>History</t>
  </si>
  <si>
    <t>RoutineDB</t>
  </si>
  <si>
    <t>DateList</t>
  </si>
  <si>
    <t>PILIH TANGGAL</t>
  </si>
  <si>
    <t>1 hari</t>
  </si>
  <si>
    <t>6 / 15</t>
  </si>
  <si>
    <t>6,5 jam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</si>
</sst>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"/>
    <numFmt numFmtId="165" formatCode="dd/mm"/>
    <numFmt numFmtId="166" formatCode="[$-13809]dd/mm/yyyy;@"/>
    <numFmt numFmtId="167" formatCode="#,##0.0"/>
    <numFmt numFmtId="168" formatCode="dd"/>
    <numFmt numFmtId="169" formatCode=";;;"/>
    <numFmt numFmtId="170" formatCode="dd/mm/yyyy"/>
  </numFmts>
  <fonts count="1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Arial Unicode MS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8"/>
      <color theme="0"/>
      <name val="Calibri"/>
      <family val="2"/>
      <scheme val="minor"/>
    </font>
    <font>
      <sz val="10"/>
      <name val="Calibri"/>
      <family val="2"/>
      <scheme val="minor"/>
    </font>
    <font>
      <sz val="8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85">
    <xf numFmtId="0" fontId="0" fillId="0" borderId="0" xfId="0"/>
    <xf numFmtId="9" fontId="0" fillId="0" borderId="0" xfId="0" applyNumberFormat="1"/>
    <xf numFmtId="166" fontId="0" fillId="0" borderId="0" xfId="0" applyNumberFormat="1"/>
    <xf numFmtId="14" fontId="0" fillId="0" borderId="0" xfId="0" applyNumberFormat="1"/>
    <xf numFmtId="0" fontId="0" fillId="2" borderId="0" xfId="0" applyFill="1"/>
    <xf numFmtId="0" fontId="0" fillId="2" borderId="1" xfId="0" applyFill="1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0" fontId="7" fillId="2" borderId="12" xfId="0" applyFont="1" applyFill="1" applyBorder="1"/>
    <xf numFmtId="0" fontId="0" fillId="2" borderId="0" xfId="0" applyFill="1" applyAlignment="1">
      <alignment vertical="center" wrapText="1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9" fontId="0" fillId="2" borderId="1" xfId="0" applyNumberFormat="1" applyFill="1" applyBorder="1" applyAlignment="1">
      <alignment horizontal="center" vertical="center"/>
    </xf>
    <xf numFmtId="167" fontId="0" fillId="2" borderId="1" xfId="0" applyNumberFormat="1" applyFill="1" applyBorder="1" applyAlignment="1">
      <alignment horizontal="center" vertical="center"/>
    </xf>
    <xf numFmtId="168" fontId="4" fillId="2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/>
    <xf numFmtId="165" fontId="0" fillId="2" borderId="1" xfId="0" applyNumberFormat="1" applyFill="1" applyBorder="1" applyAlignment="1">
      <alignment horizontal="center" vertical="center"/>
    </xf>
    <xf numFmtId="20" fontId="0" fillId="2" borderId="1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0" fillId="2" borderId="1" xfId="0" applyFill="1" applyBorder="1" applyAlignment="1">
      <alignment vertical="center"/>
    </xf>
    <xf numFmtId="0" fontId="1" fillId="2" borderId="2" xfId="0" applyFont="1" applyFill="1" applyBorder="1"/>
    <xf numFmtId="0" fontId="1" fillId="2" borderId="3" xfId="0" applyFont="1" applyFill="1" applyBorder="1"/>
    <xf numFmtId="9" fontId="0" fillId="2" borderId="14" xfId="0" applyNumberFormat="1" applyFill="1" applyBorder="1" applyAlignment="1">
      <alignment horizontal="center"/>
    </xf>
    <xf numFmtId="9" fontId="0" fillId="2" borderId="13" xfId="0" applyNumberFormat="1" applyFill="1" applyBorder="1" applyAlignment="1">
      <alignment horizontal="center"/>
    </xf>
    <xf numFmtId="9" fontId="0" fillId="2" borderId="15" xfId="0" applyNumberFormat="1" applyFill="1" applyBorder="1" applyAlignment="1">
      <alignment horizontal="center"/>
    </xf>
    <xf numFmtId="165" fontId="1" fillId="2" borderId="0" xfId="0" applyNumberFormat="1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9" fontId="1" fillId="2" borderId="1" xfId="0" applyNumberFormat="1" applyFont="1" applyFill="1" applyBorder="1" applyAlignment="1">
      <alignment horizontal="center"/>
    </xf>
    <xf numFmtId="164" fontId="1" fillId="2" borderId="1" xfId="0" applyNumberFormat="1" applyFont="1" applyFill="1" applyBorder="1" applyAlignment="1">
      <alignment horizontal="center"/>
    </xf>
    <xf numFmtId="9" fontId="0" fillId="2" borderId="1" xfId="0" applyNumberFormat="1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165" fontId="0" fillId="2" borderId="0" xfId="0" applyNumberFormat="1" applyFill="1"/>
    <xf numFmtId="9" fontId="0" fillId="2" borderId="0" xfId="0" applyNumberFormat="1" applyFill="1"/>
    <xf numFmtId="0" fontId="0" fillId="3" borderId="0" xfId="0" applyFill="1"/>
    <xf numFmtId="0" fontId="2" fillId="3" borderId="0" xfId="0" applyFont="1" applyFill="1" applyAlignment="1">
      <alignment horizontal="center"/>
    </xf>
    <xf numFmtId="9" fontId="0" fillId="2" borderId="0" xfId="0" applyNumberFormat="1" applyFill="1" applyAlignment="1">
      <alignment horizontal="center"/>
    </xf>
    <xf numFmtId="0" fontId="8" fillId="3" borderId="0" xfId="0" applyFont="1" applyFill="1" applyAlignment="1">
      <alignment vertical="center"/>
    </xf>
    <xf numFmtId="0" fontId="12" fillId="3" borderId="0" xfId="1" applyFont="1" applyFill="1" applyAlignment="1">
      <alignment vertical="center"/>
    </xf>
    <xf numFmtId="0" fontId="8" fillId="2" borderId="0" xfId="0" applyFont="1" applyFill="1" applyAlignment="1">
      <alignment vertical="center"/>
    </xf>
    <xf numFmtId="0" fontId="2" fillId="2" borderId="0" xfId="0" applyFont="1" applyFill="1" applyAlignment="1">
      <alignment horizontal="center"/>
    </xf>
    <xf numFmtId="0" fontId="9" fillId="2" borderId="0" xfId="0" applyFont="1" applyFill="1" applyAlignment="1">
      <alignment horizontal="center" vertical="center"/>
    </xf>
    <xf numFmtId="0" fontId="12" fillId="2" borderId="0" xfId="1" applyFont="1" applyFill="1" applyAlignment="1">
      <alignment vertical="center"/>
    </xf>
    <xf numFmtId="0" fontId="12" fillId="2" borderId="16" xfId="1" applyFont="1" applyFill="1" applyBorder="1" applyAlignment="1">
      <alignment vertical="center"/>
    </xf>
    <xf numFmtId="2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169" fontId="0" fillId="0" borderId="0" xfId="0" applyNumberFormat="1"/>
    <xf numFmtId="168" fontId="4" fillId="4" borderId="1" xfId="0" applyNumberFormat="1" applyFont="1" applyFill="1" applyBorder="1" applyAlignment="1">
      <alignment horizontal="center" vertical="center"/>
    </xf>
    <xf numFmtId="168" fontId="13" fillId="2" borderId="1" xfId="0" applyNumberFormat="1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8" fillId="3" borderId="0" xfId="0" applyFont="1" applyFill="1" applyAlignment="1">
      <alignment horizontal="center" vertical="center"/>
    </xf>
    <xf numFmtId="0" fontId="12" fillId="3" borderId="0" xfId="1" applyFont="1" applyFill="1" applyAlignment="1">
      <alignment horizontal="center" vertical="center"/>
    </xf>
    <xf numFmtId="0" fontId="0" fillId="2" borderId="1" xfId="0" applyFill="1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9" fontId="5" fillId="2" borderId="7" xfId="0" applyNumberFormat="1" applyFont="1" applyFill="1" applyBorder="1" applyAlignment="1">
      <alignment horizontal="center" vertical="center"/>
    </xf>
    <xf numFmtId="9" fontId="5" fillId="2" borderId="0" xfId="0" applyNumberFormat="1" applyFont="1" applyFill="1" applyAlignment="1">
      <alignment horizontal="center" vertical="center"/>
    </xf>
    <xf numFmtId="9" fontId="5" fillId="2" borderId="8" xfId="0" applyNumberFormat="1" applyFont="1" applyFill="1" applyBorder="1" applyAlignment="1">
      <alignment horizontal="center" vertical="center"/>
    </xf>
    <xf numFmtId="9" fontId="5" fillId="2" borderId="9" xfId="0" applyNumberFormat="1" applyFont="1" applyFill="1" applyBorder="1" applyAlignment="1">
      <alignment horizontal="center" vertical="center"/>
    </xf>
    <xf numFmtId="9" fontId="5" fillId="2" borderId="10" xfId="0" applyNumberFormat="1" applyFont="1" applyFill="1" applyBorder="1" applyAlignment="1">
      <alignment horizontal="center" vertical="center"/>
    </xf>
    <xf numFmtId="9" fontId="5" fillId="2" borderId="11" xfId="0" applyNumberFormat="1" applyFont="1" applyFill="1" applyBorder="1" applyAlignment="1">
      <alignment horizontal="center" vertical="center"/>
    </xf>
    <xf numFmtId="9" fontId="0" fillId="2" borderId="13" xfId="0" applyNumberFormat="1" applyFill="1" applyBorder="1" applyAlignment="1">
      <alignment horizontal="center"/>
    </xf>
    <xf numFmtId="9" fontId="0" fillId="2" borderId="0" xfId="0" applyNumberFormat="1" applyFill="1" applyAlignment="1">
      <alignment horizontal="center"/>
    </xf>
    <xf numFmtId="49" fontId="5" fillId="2" borderId="7" xfId="0" applyNumberFormat="1" applyFont="1" applyFill="1" applyBorder="1" applyAlignment="1">
      <alignment horizontal="center" vertical="center"/>
    </xf>
    <xf numFmtId="49" fontId="5" fillId="2" borderId="0" xfId="0" applyNumberFormat="1" applyFont="1" applyFill="1" applyAlignment="1">
      <alignment horizontal="center" vertical="center"/>
    </xf>
    <xf numFmtId="49" fontId="5" fillId="2" borderId="8" xfId="0" applyNumberFormat="1" applyFont="1" applyFill="1" applyBorder="1" applyAlignment="1">
      <alignment horizontal="center" vertical="center"/>
    </xf>
    <xf numFmtId="49" fontId="5" fillId="2" borderId="9" xfId="0" applyNumberFormat="1" applyFont="1" applyFill="1" applyBorder="1" applyAlignment="1">
      <alignment horizontal="center" vertical="center"/>
    </xf>
    <xf numFmtId="49" fontId="5" fillId="2" borderId="10" xfId="0" applyNumberFormat="1" applyFont="1" applyFill="1" applyBorder="1" applyAlignment="1">
      <alignment horizontal="center" vertical="center"/>
    </xf>
    <xf numFmtId="49" fontId="5" fillId="2" borderId="11" xfId="0" applyNumberFormat="1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49" fontId="6" fillId="2" borderId="7" xfId="0" applyNumberFormat="1" applyFont="1" applyFill="1" applyBorder="1" applyAlignment="1">
      <alignment horizontal="center" vertical="center"/>
    </xf>
    <xf numFmtId="49" fontId="6" fillId="2" borderId="0" xfId="0" applyNumberFormat="1" applyFont="1" applyFill="1" applyAlignment="1">
      <alignment horizontal="center" vertical="center"/>
    </xf>
    <xf numFmtId="49" fontId="6" fillId="2" borderId="8" xfId="0" applyNumberFormat="1" applyFont="1" applyFill="1" applyBorder="1" applyAlignment="1">
      <alignment horizontal="center" vertical="center"/>
    </xf>
    <xf numFmtId="49" fontId="6" fillId="2" borderId="9" xfId="0" applyNumberFormat="1" applyFont="1" applyFill="1" applyBorder="1" applyAlignment="1">
      <alignment horizontal="center" vertical="center"/>
    </xf>
    <xf numFmtId="49" fontId="6" fillId="2" borderId="10" xfId="0" applyNumberFormat="1" applyFont="1" applyFill="1" applyBorder="1" applyAlignment="1">
      <alignment horizontal="center" vertical="center"/>
    </xf>
    <xf numFmtId="49" fontId="6" fillId="2" borderId="11" xfId="0" applyNumberFormat="1" applyFont="1" applyFill="1" applyBorder="1" applyAlignment="1">
      <alignment horizontal="center" vertical="center"/>
    </xf>
    <xf numFmtId="170" fontId="0" fillId="2" borderId="1" xfId="0" applyNumberFormat="1" applyFill="1" applyBorder="1" applyAlignment="1">
      <alignment horizontal="center"/>
    </xf>
    <xf numFmtId="170" fontId="0" fillId="0" borderId="0" xfId="0" applyNumberFormat="1"/>
    <xf numFmtId="170" fontId="1" fillId="2" borderId="1" xfId="0" applyNumberFormat="1" applyFont="1" applyFill="1" applyBorder="1" applyAlignment="1">
      <alignment horizontal="center"/>
    </xf>
    <xf numFmtId="170" fontId="0" fillId="2" borderId="1" xfId="0" applyNumberForma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1"/>
      </font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fmlaLink="$E$2" lockText="1" noThreeD="1"/>
</file>

<file path=xl/ctrlProps/ctrlProp2.xml><?xml version="1.0" encoding="utf-8"?>
<formControlPr xmlns="http://schemas.microsoft.com/office/spreadsheetml/2009/9/main" objectType="CheckBox" checked="Checked" fmlaLink="$E$3" lockText="1" noThreeD="1"/>
</file>

<file path=xl/ctrlProps/ctrlProp3.xml><?xml version="1.0" encoding="utf-8"?>
<formControlPr xmlns="http://schemas.microsoft.com/office/spreadsheetml/2009/9/main" objectType="CheckBox" checked="Checked" fmlaLink="$E$4" lockText="1" noThreeD="1"/>
</file>

<file path=xl/ctrlProps/ctrlProp4.xml><?xml version="1.0" encoding="utf-8"?>
<formControlPr xmlns="http://schemas.microsoft.com/office/spreadsheetml/2009/9/main" objectType="CheckBox" checked="Checked" fmlaLink="$E$5" lockText="1" noThreeD="1"/>
</file>

<file path=xl/ctrlProps/ctrlProp5.xml><?xml version="1.0" encoding="utf-8"?>
<formControlPr xmlns="http://schemas.microsoft.com/office/spreadsheetml/2009/9/main" objectType="CheckBox" checked="Checked" fmlaLink="$E$6" lockText="1" noThreeD="1"/>
</file>

<file path=xl/ctrlProps/ctrlProp6.xml><?xml version="1.0" encoding="utf-8"?>
<formControlPr xmlns="http://schemas.microsoft.com/office/spreadsheetml/2009/9/main" objectType="CheckBox" checked="Checked" fmlaLink="$E$7" lockText="1" noThreeD="1"/>
</file>

<file path=xl/ctrlProps/ctrlProp7.xml><?xml version="1.0" encoding="utf-8"?>
<formControlPr xmlns="http://schemas.microsoft.com/office/spreadsheetml/2009/9/main" objectType="CheckBox" fmlaLink="$E$8" lockText="1" noThreeD="1"/>
</file>

<file path=xl/ctrlProps/ctrlProp8.xml><?xml version="1.0" encoding="utf-8"?>
<formControlPr xmlns="http://schemas.microsoft.com/office/spreadsheetml/2009/9/main" objectType="CheckBox" fmlaLink="$E$9" lockText="1" noThreeD="1"/>
</file>

<file path=xl/ctrlProps/ctrlProp9.xml><?xml version="1.0" encoding="utf-8"?>
<formControlPr xmlns="http://schemas.microsoft.com/office/spreadsheetml/2009/9/main" objectType="CheckBox" fmlaLink="$E$10" lockText="1" noThreeD="1"/>
</file>

<file path=xl/ctrlProps/ctrlProp10.xml><?xml version="1.0" encoding="utf-8"?>
<formControlPr xmlns="http://schemas.microsoft.com/office/spreadsheetml/2009/9/main" objectType="CheckBox" fmlaLink="$E$11" lockText="1" noThreeD="1"/>
</file>

<file path=xl/ctrlProps/ctrlProp11.xml><?xml version="1.0" encoding="utf-8"?>
<formControlPr xmlns="http://schemas.microsoft.com/office/spreadsheetml/2009/9/main" objectType="CheckBox" fmlaLink="$E$12" lockText="1" noThreeD="1"/>
</file>

<file path=xl/ctrlProps/ctrlProp12.xml><?xml version="1.0" encoding="utf-8"?>
<formControlPr xmlns="http://schemas.microsoft.com/office/spreadsheetml/2009/9/main" objectType="CheckBox" fmlaLink="$E$13" lockText="1" noThreeD="1"/>
</file>

<file path=xl/ctrlProps/ctrlProp13.xml><?xml version="1.0" encoding="utf-8"?>
<formControlPr xmlns="http://schemas.microsoft.com/office/spreadsheetml/2009/9/main" objectType="CheckBox" fmlaLink="$E$14" lockText="1" noThreeD="1"/>
</file>

<file path=xl/ctrlProps/ctrlProp14.xml><?xml version="1.0" encoding="utf-8"?>
<formControlPr xmlns="http://schemas.microsoft.com/office/spreadsheetml/2009/9/main" objectType="CheckBox" fmlaLink="$E$15" lockText="1" noThreeD="1"/>
</file>

<file path=xl/ctrlProps/ctrlProp15.xml><?xml version="1.0" encoding="utf-8"?>
<formControlPr xmlns="http://schemas.microsoft.com/office/spreadsheetml/2009/9/main" objectType="CheckBox" fmlaLink="$E$16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1</xdr:row>
          <xdr:rowOff>25400</xdr:rowOff>
        </xdr:from>
        <xdr:to>
          <xdr:col>4</xdr:col>
          <xdr:colOff>584200</xdr:colOff>
          <xdr:row>2</xdr:row>
          <xdr:rowOff>57150</xdr:rowOff>
        </xdr:to>
        <xdr:sp macro="" textlink="">
          <xdr:nvSpPr>
            <xdr:cNvPr id="7375" name="Check Box 1231" hidden="1">
              <a:extLst>
                <a:ext uri="{63B3BB69-23CF-44E3-9099-C40C66FF867C}">
                  <a14:compatExt spid="_x0000_s7375"/>
                </a:ext>
                <a:ext uri="{FF2B5EF4-FFF2-40B4-BE49-F238E27FC236}">
                  <a16:creationId xmlns:a16="http://schemas.microsoft.com/office/drawing/2014/main" id="{710483DE-F18C-7628-A93A-949F04CD9F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2</xdr:row>
          <xdr:rowOff>25400</xdr:rowOff>
        </xdr:from>
        <xdr:to>
          <xdr:col>4</xdr:col>
          <xdr:colOff>584200</xdr:colOff>
          <xdr:row>3</xdr:row>
          <xdr:rowOff>57150</xdr:rowOff>
        </xdr:to>
        <xdr:sp macro="" textlink="">
          <xdr:nvSpPr>
            <xdr:cNvPr id="7376" name="Check Box 1232" hidden="1">
              <a:extLst>
                <a:ext uri="{63B3BB69-23CF-44E3-9099-C40C66FF867C}">
                  <a14:compatExt spid="_x0000_s7376"/>
                </a:ext>
                <a:ext uri="{FF2B5EF4-FFF2-40B4-BE49-F238E27FC236}">
                  <a16:creationId xmlns:a16="http://schemas.microsoft.com/office/drawing/2014/main" id="{66B5A400-63CB-E1DF-9ACA-90A891492A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3</xdr:row>
          <xdr:rowOff>25400</xdr:rowOff>
        </xdr:from>
        <xdr:to>
          <xdr:col>4</xdr:col>
          <xdr:colOff>584200</xdr:colOff>
          <xdr:row>4</xdr:row>
          <xdr:rowOff>57150</xdr:rowOff>
        </xdr:to>
        <xdr:sp macro="" textlink="">
          <xdr:nvSpPr>
            <xdr:cNvPr id="7377" name="Check Box 1233" hidden="1">
              <a:extLst>
                <a:ext uri="{63B3BB69-23CF-44E3-9099-C40C66FF867C}">
                  <a14:compatExt spid="_x0000_s7377"/>
                </a:ext>
                <a:ext uri="{FF2B5EF4-FFF2-40B4-BE49-F238E27FC236}">
                  <a16:creationId xmlns:a16="http://schemas.microsoft.com/office/drawing/2014/main" id="{772675F2-F6C0-7A79-41BA-4F0A351543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4</xdr:row>
          <xdr:rowOff>25400</xdr:rowOff>
        </xdr:from>
        <xdr:to>
          <xdr:col>4</xdr:col>
          <xdr:colOff>584200</xdr:colOff>
          <xdr:row>5</xdr:row>
          <xdr:rowOff>57150</xdr:rowOff>
        </xdr:to>
        <xdr:sp macro="" textlink="">
          <xdr:nvSpPr>
            <xdr:cNvPr id="7378" name="Check Box 1234" hidden="1">
              <a:extLst>
                <a:ext uri="{63B3BB69-23CF-44E3-9099-C40C66FF867C}">
                  <a14:compatExt spid="_x0000_s7378"/>
                </a:ext>
                <a:ext uri="{FF2B5EF4-FFF2-40B4-BE49-F238E27FC236}">
                  <a16:creationId xmlns:a16="http://schemas.microsoft.com/office/drawing/2014/main" id="{BC1D7E5D-4A44-200E-D040-8CB52D913A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5</xdr:row>
          <xdr:rowOff>25400</xdr:rowOff>
        </xdr:from>
        <xdr:to>
          <xdr:col>4</xdr:col>
          <xdr:colOff>584200</xdr:colOff>
          <xdr:row>6</xdr:row>
          <xdr:rowOff>57150</xdr:rowOff>
        </xdr:to>
        <xdr:sp macro="" textlink="">
          <xdr:nvSpPr>
            <xdr:cNvPr id="7379" name="Check Box 1235" hidden="1">
              <a:extLst>
                <a:ext uri="{63B3BB69-23CF-44E3-9099-C40C66FF867C}">
                  <a14:compatExt spid="_x0000_s7379"/>
                </a:ext>
                <a:ext uri="{FF2B5EF4-FFF2-40B4-BE49-F238E27FC236}">
                  <a16:creationId xmlns:a16="http://schemas.microsoft.com/office/drawing/2014/main" id="{7F126BCD-7B43-AA49-4E84-A3E2F57249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6</xdr:row>
          <xdr:rowOff>25400</xdr:rowOff>
        </xdr:from>
        <xdr:to>
          <xdr:col>4</xdr:col>
          <xdr:colOff>584200</xdr:colOff>
          <xdr:row>7</xdr:row>
          <xdr:rowOff>57150</xdr:rowOff>
        </xdr:to>
        <xdr:sp macro="" textlink="">
          <xdr:nvSpPr>
            <xdr:cNvPr id="7380" name="Check Box 1236" hidden="1">
              <a:extLst>
                <a:ext uri="{63B3BB69-23CF-44E3-9099-C40C66FF867C}">
                  <a14:compatExt spid="_x0000_s7380"/>
                </a:ext>
                <a:ext uri="{FF2B5EF4-FFF2-40B4-BE49-F238E27FC236}">
                  <a16:creationId xmlns:a16="http://schemas.microsoft.com/office/drawing/2014/main" id="{8DC33B9F-D70D-8060-1B12-8A687B6F43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7</xdr:row>
          <xdr:rowOff>25400</xdr:rowOff>
        </xdr:from>
        <xdr:to>
          <xdr:col>4</xdr:col>
          <xdr:colOff>584200</xdr:colOff>
          <xdr:row>8</xdr:row>
          <xdr:rowOff>57150</xdr:rowOff>
        </xdr:to>
        <xdr:sp macro="" textlink="">
          <xdr:nvSpPr>
            <xdr:cNvPr id="7381" name="Check Box 1237" hidden="1">
              <a:extLst>
                <a:ext uri="{63B3BB69-23CF-44E3-9099-C40C66FF867C}">
                  <a14:compatExt spid="_x0000_s7381"/>
                </a:ext>
                <a:ext uri="{FF2B5EF4-FFF2-40B4-BE49-F238E27FC236}">
                  <a16:creationId xmlns:a16="http://schemas.microsoft.com/office/drawing/2014/main" id="{0CCAE8EC-0401-F0C1-762F-68201C1FE9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8</xdr:row>
          <xdr:rowOff>25400</xdr:rowOff>
        </xdr:from>
        <xdr:to>
          <xdr:col>4</xdr:col>
          <xdr:colOff>584200</xdr:colOff>
          <xdr:row>9</xdr:row>
          <xdr:rowOff>57150</xdr:rowOff>
        </xdr:to>
        <xdr:sp macro="" textlink="">
          <xdr:nvSpPr>
            <xdr:cNvPr id="7382" name="Check Box 1238" hidden="1">
              <a:extLst>
                <a:ext uri="{63B3BB69-23CF-44E3-9099-C40C66FF867C}">
                  <a14:compatExt spid="_x0000_s7382"/>
                </a:ext>
                <a:ext uri="{FF2B5EF4-FFF2-40B4-BE49-F238E27FC236}">
                  <a16:creationId xmlns:a16="http://schemas.microsoft.com/office/drawing/2014/main" id="{657CF74D-C016-88C0-BB9A-B9D1C72920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9</xdr:row>
          <xdr:rowOff>25400</xdr:rowOff>
        </xdr:from>
        <xdr:to>
          <xdr:col>4</xdr:col>
          <xdr:colOff>584200</xdr:colOff>
          <xdr:row>10</xdr:row>
          <xdr:rowOff>57150</xdr:rowOff>
        </xdr:to>
        <xdr:sp macro="" textlink="">
          <xdr:nvSpPr>
            <xdr:cNvPr id="7383" name="Check Box 1239" hidden="1">
              <a:extLst>
                <a:ext uri="{63B3BB69-23CF-44E3-9099-C40C66FF867C}">
                  <a14:compatExt spid="_x0000_s7383"/>
                </a:ext>
                <a:ext uri="{FF2B5EF4-FFF2-40B4-BE49-F238E27FC236}">
                  <a16:creationId xmlns:a16="http://schemas.microsoft.com/office/drawing/2014/main" id="{3D297FE3-E303-8932-3D00-36841E3C5A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10</xdr:row>
          <xdr:rowOff>25400</xdr:rowOff>
        </xdr:from>
        <xdr:to>
          <xdr:col>4</xdr:col>
          <xdr:colOff>584200</xdr:colOff>
          <xdr:row>11</xdr:row>
          <xdr:rowOff>57150</xdr:rowOff>
        </xdr:to>
        <xdr:sp macro="" textlink="">
          <xdr:nvSpPr>
            <xdr:cNvPr id="7384" name="Check Box 1240" hidden="1">
              <a:extLst>
                <a:ext uri="{63B3BB69-23CF-44E3-9099-C40C66FF867C}">
                  <a14:compatExt spid="_x0000_s7384"/>
                </a:ext>
                <a:ext uri="{FF2B5EF4-FFF2-40B4-BE49-F238E27FC236}">
                  <a16:creationId xmlns:a16="http://schemas.microsoft.com/office/drawing/2014/main" id="{4DEDD305-84A6-8938-AE1F-1074EA8774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11</xdr:row>
          <xdr:rowOff>25400</xdr:rowOff>
        </xdr:from>
        <xdr:to>
          <xdr:col>4</xdr:col>
          <xdr:colOff>584200</xdr:colOff>
          <xdr:row>12</xdr:row>
          <xdr:rowOff>57150</xdr:rowOff>
        </xdr:to>
        <xdr:sp macro="" textlink="">
          <xdr:nvSpPr>
            <xdr:cNvPr id="7385" name="Check Box 1241" hidden="1">
              <a:extLst>
                <a:ext uri="{63B3BB69-23CF-44E3-9099-C40C66FF867C}">
                  <a14:compatExt spid="_x0000_s7385"/>
                </a:ext>
                <a:ext uri="{FF2B5EF4-FFF2-40B4-BE49-F238E27FC236}">
                  <a16:creationId xmlns:a16="http://schemas.microsoft.com/office/drawing/2014/main" id="{04C06E61-E8C0-9088-1D04-22068003AB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12</xdr:row>
          <xdr:rowOff>25400</xdr:rowOff>
        </xdr:from>
        <xdr:to>
          <xdr:col>4</xdr:col>
          <xdr:colOff>584200</xdr:colOff>
          <xdr:row>13</xdr:row>
          <xdr:rowOff>57150</xdr:rowOff>
        </xdr:to>
        <xdr:sp macro="" textlink="">
          <xdr:nvSpPr>
            <xdr:cNvPr id="7386" name="Check Box 1242" hidden="1">
              <a:extLst>
                <a:ext uri="{63B3BB69-23CF-44E3-9099-C40C66FF867C}">
                  <a14:compatExt spid="_x0000_s7386"/>
                </a:ext>
                <a:ext uri="{FF2B5EF4-FFF2-40B4-BE49-F238E27FC236}">
                  <a16:creationId xmlns:a16="http://schemas.microsoft.com/office/drawing/2014/main" id="{DC7A29B6-7592-0CED-B7A1-920BB557E9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13</xdr:row>
          <xdr:rowOff>25400</xdr:rowOff>
        </xdr:from>
        <xdr:to>
          <xdr:col>4</xdr:col>
          <xdr:colOff>584200</xdr:colOff>
          <xdr:row>14</xdr:row>
          <xdr:rowOff>57150</xdr:rowOff>
        </xdr:to>
        <xdr:sp macro="" textlink="">
          <xdr:nvSpPr>
            <xdr:cNvPr id="7387" name="Check Box 1243" hidden="1">
              <a:extLst>
                <a:ext uri="{63B3BB69-23CF-44E3-9099-C40C66FF867C}">
                  <a14:compatExt spid="_x0000_s7387"/>
                </a:ext>
                <a:ext uri="{FF2B5EF4-FFF2-40B4-BE49-F238E27FC236}">
                  <a16:creationId xmlns:a16="http://schemas.microsoft.com/office/drawing/2014/main" id="{088C2D13-9691-4501-E7D9-53BEBB26E7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14</xdr:row>
          <xdr:rowOff>25400</xdr:rowOff>
        </xdr:from>
        <xdr:to>
          <xdr:col>4</xdr:col>
          <xdr:colOff>584200</xdr:colOff>
          <xdr:row>15</xdr:row>
          <xdr:rowOff>57150</xdr:rowOff>
        </xdr:to>
        <xdr:sp macro="" textlink="">
          <xdr:nvSpPr>
            <xdr:cNvPr id="7388" name="Check Box 1244" hidden="1">
              <a:extLst>
                <a:ext uri="{63B3BB69-23CF-44E3-9099-C40C66FF867C}">
                  <a14:compatExt spid="_x0000_s7388"/>
                </a:ext>
                <a:ext uri="{FF2B5EF4-FFF2-40B4-BE49-F238E27FC236}">
                  <a16:creationId xmlns:a16="http://schemas.microsoft.com/office/drawing/2014/main" id="{018A8834-438B-B1B0-D697-5798608195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15</xdr:row>
          <xdr:rowOff>25400</xdr:rowOff>
        </xdr:from>
        <xdr:to>
          <xdr:col>4</xdr:col>
          <xdr:colOff>584200</xdr:colOff>
          <xdr:row>16</xdr:row>
          <xdr:rowOff>57150</xdr:rowOff>
        </xdr:to>
        <xdr:sp macro="" textlink="">
          <xdr:nvSpPr>
            <xdr:cNvPr id="7389" name="Check Box 1245" hidden="1">
              <a:extLst>
                <a:ext uri="{63B3BB69-23CF-44E3-9099-C40C66FF867C}">
                  <a14:compatExt spid="_x0000_s7389"/>
                </a:ext>
                <a:ext uri="{FF2B5EF4-FFF2-40B4-BE49-F238E27FC236}">
                  <a16:creationId xmlns:a16="http://schemas.microsoft.com/office/drawing/2014/main" id="{452974E7-DED0-5369-79A9-FB08D2D87F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5A7F3-5887-4A87-B458-1E5FB82AC6BE}">
  <sheetPr codeName="Sheet1"/>
  <dimension ref="A1:Q44"/>
  <sheetViews>
    <sheetView showGridLines="0" zoomScale="70" zoomScaleNormal="70" workbookViewId="0">
      <selection activeCell="K3" sqref="K3:L3"/>
    </sheetView>
  </sheetViews>
  <sheetFormatPr defaultRowHeight="14.5"/>
  <cols>
    <col min="1" max="1" width="9.6328125" style="34" customWidth="1"/>
    <col min="2" max="2" width="12.453125" style="34" customWidth="1"/>
    <col min="3" max="3" width="13.1796875" style="4" customWidth="1"/>
    <col min="4" max="4" width="12.6328125" style="4" customWidth="1"/>
    <col min="5" max="5" width="14.6328125" style="4" customWidth="1"/>
    <col min="6" max="6" width="24.6328125" style="4" customWidth="1"/>
    <col min="7" max="7" width="14.6328125" style="4" customWidth="1"/>
    <col min="8" max="8" width="12.6328125" style="4" customWidth="1"/>
    <col min="9" max="9" width="14.6328125" style="4" customWidth="1"/>
    <col min="10" max="17" width="12.6328125" style="4" customWidth="1"/>
    <col min="18" max="16384" width="8.7265625" style="4"/>
  </cols>
  <sheetData>
    <row r="1" spans="1:17" ht="14.5" customHeight="1">
      <c r="A1" s="54" t="s">
        <v>70</v>
      </c>
      <c r="B1" s="54"/>
      <c r="C1" s="39"/>
    </row>
    <row r="2" spans="1:17" ht="21" customHeight="1">
      <c r="A2" s="54"/>
      <c r="B2" s="54"/>
      <c r="C2" s="39"/>
      <c r="D2" s="50" t="s">
        <v>0</v>
      </c>
      <c r="E2" s="50"/>
      <c r="F2" s="50"/>
      <c r="G2" s="50"/>
      <c r="H2" s="50"/>
      <c r="I2" s="50"/>
      <c r="J2" s="50"/>
      <c r="K2" s="56" t="s">
        <v>75</v>
      </c>
      <c r="L2" s="56"/>
    </row>
    <row r="3" spans="1:17" ht="14.5" customHeight="1">
      <c r="A3" s="37"/>
      <c r="B3" s="37"/>
      <c r="C3" s="39"/>
      <c r="D3" s="50"/>
      <c r="E3" s="50"/>
      <c r="F3" s="50"/>
      <c r="G3" s="50"/>
      <c r="H3" s="50"/>
      <c r="I3" s="50"/>
      <c r="J3" s="50"/>
      <c r="K3" s="81">
        <v>46302</v>
      </c>
      <c r="L3" s="57"/>
    </row>
    <row r="4" spans="1:17" ht="14.5" customHeight="1">
      <c r="A4" s="37"/>
      <c r="B4" s="37"/>
      <c r="C4" s="39"/>
    </row>
    <row r="5" spans="1:17" ht="14.5" customHeight="1">
      <c r="A5" s="37"/>
      <c r="B5" s="37"/>
      <c r="C5" s="39"/>
    </row>
    <row r="6" spans="1:17" ht="15" thickBot="1">
      <c r="B6" s="35"/>
      <c r="C6" s="40"/>
    </row>
    <row r="7" spans="1:17" ht="15" thickTop="1">
      <c r="B7" s="35"/>
      <c r="C7" s="41"/>
      <c r="D7" s="72" t="s">
        <v>1</v>
      </c>
      <c r="E7" s="73"/>
      <c r="F7" s="74"/>
      <c r="G7" s="51" t="s">
        <v>2</v>
      </c>
      <c r="H7" s="52"/>
      <c r="I7" s="53"/>
      <c r="J7" s="51" t="s">
        <v>3</v>
      </c>
      <c r="K7" s="52"/>
      <c r="L7" s="52"/>
      <c r="M7" s="53"/>
      <c r="N7" s="51" t="s">
        <v>4</v>
      </c>
      <c r="O7" s="52"/>
      <c r="P7" s="52"/>
      <c r="Q7" s="53"/>
    </row>
    <row r="8" spans="1:17" ht="23.5" customHeight="1">
      <c r="A8" s="55" t="s">
        <v>71</v>
      </c>
      <c r="B8" s="55"/>
      <c r="C8" s="41"/>
      <c r="D8" s="66" t="s">
        <v>77</v>
      </c>
      <c r="E8" s="67"/>
      <c r="F8" s="68"/>
      <c r="G8" s="66" t="s">
        <v>78</v>
      </c>
      <c r="H8" s="67"/>
      <c r="I8" s="68"/>
      <c r="J8" s="75" t="s">
        <v>76</v>
      </c>
      <c r="K8" s="76"/>
      <c r="L8" s="76"/>
      <c r="M8" s="77"/>
      <c r="N8" s="58">
        <v>0.4</v>
      </c>
      <c r="O8" s="59"/>
      <c r="P8" s="59"/>
      <c r="Q8" s="60"/>
    </row>
    <row r="9" spans="1:17" ht="15" customHeight="1" thickBot="1">
      <c r="A9" s="55"/>
      <c r="B9" s="55"/>
      <c r="C9" s="42"/>
      <c r="D9" s="69"/>
      <c r="E9" s="70"/>
      <c r="F9" s="71"/>
      <c r="G9" s="69"/>
      <c r="H9" s="70"/>
      <c r="I9" s="71"/>
      <c r="J9" s="78"/>
      <c r="K9" s="79"/>
      <c r="L9" s="79"/>
      <c r="M9" s="80"/>
      <c r="N9" s="61"/>
      <c r="O9" s="62"/>
      <c r="P9" s="62"/>
      <c r="Q9" s="63"/>
    </row>
    <row r="10" spans="1:17" ht="15" customHeight="1" thickTop="1">
      <c r="A10" s="55"/>
      <c r="B10" s="55"/>
      <c r="C10" s="42"/>
    </row>
    <row r="11" spans="1:17" ht="14.5" customHeight="1">
      <c r="A11" s="55" t="s">
        <v>72</v>
      </c>
      <c r="B11" s="55"/>
      <c r="C11" s="42"/>
    </row>
    <row r="12" spans="1:17" ht="16" customHeight="1" thickBot="1">
      <c r="A12" s="55"/>
      <c r="B12" s="55"/>
      <c r="C12" s="42"/>
      <c r="D12" s="7" t="s">
        <v>5</v>
      </c>
      <c r="E12" s="7"/>
      <c r="F12" s="7"/>
      <c r="G12" s="7"/>
      <c r="H12" s="7"/>
      <c r="I12" s="7"/>
      <c r="K12" s="4" t="s">
        <v>6</v>
      </c>
    </row>
    <row r="13" spans="1:17" ht="14.5" customHeight="1">
      <c r="A13" s="55"/>
      <c r="B13" s="55"/>
      <c r="C13" s="42"/>
      <c r="D13" s="4" t="s">
        <v>63</v>
      </c>
      <c r="E13" s="4" t="s">
        <v>50</v>
      </c>
      <c r="F13" s="8"/>
      <c r="H13" s="8" t="s">
        <v>64</v>
      </c>
      <c r="I13" s="8" t="s">
        <v>11</v>
      </c>
      <c r="K13" s="9" t="s">
        <v>56</v>
      </c>
      <c r="L13" s="9" t="s">
        <v>57</v>
      </c>
      <c r="M13" s="9" t="s">
        <v>58</v>
      </c>
      <c r="N13" s="9" t="s">
        <v>59</v>
      </c>
      <c r="O13" s="9" t="s">
        <v>60</v>
      </c>
      <c r="P13" s="9" t="s">
        <v>61</v>
      </c>
      <c r="Q13" s="9" t="s">
        <v>62</v>
      </c>
    </row>
    <row r="14" spans="1:17" ht="14.5" customHeight="1">
      <c r="A14" s="55" t="s">
        <v>73</v>
      </c>
      <c r="B14" s="55"/>
      <c r="C14" s="42"/>
      <c r="D14" s="10" t="s">
        <v>22</v>
      </c>
      <c r="E14" s="11">
        <f>IFERROR(COUNTIFS(RoutineDB!$D:$D,D14,RoutineDB!$E:$E,TRUE,RoutineDB!$A:$A,$K$3)/COUNTIFS(RoutineDB!$D:$D,D14,RoutineDB!$A:$A,$K$3),0)</f>
        <v>0.66666666666666663</v>
      </c>
      <c r="F14" s="12"/>
      <c r="G14" s="11"/>
      <c r="H14" s="13"/>
      <c r="I14" s="14">
        <f>SUMIFS(RoutineDB!$G:$G,RoutineDB!$D:$D,D14,RoutineDB!$A:$A,$K$3)/60</f>
        <v>5.5</v>
      </c>
      <c r="K14" s="48">
        <f>DATE(YEAR($K$3),MONTH($K$3),1)-WEEKDAY(DATE(YEAR($K$3),MONTH($K$3),1),2)+1</f>
        <v>46293</v>
      </c>
      <c r="L14" s="49">
        <f>K14+1</f>
        <v>46294</v>
      </c>
      <c r="M14" s="49">
        <f t="shared" ref="M14:Q14" si="0">L14+1</f>
        <v>46295</v>
      </c>
      <c r="N14" s="15">
        <f t="shared" si="0"/>
        <v>46296</v>
      </c>
      <c r="O14" s="15">
        <f t="shared" si="0"/>
        <v>46297</v>
      </c>
      <c r="P14" s="15">
        <f t="shared" si="0"/>
        <v>46298</v>
      </c>
      <c r="Q14" s="15">
        <f t="shared" si="0"/>
        <v>46299</v>
      </c>
    </row>
    <row r="15" spans="1:17" ht="14.5" customHeight="1">
      <c r="A15" s="55"/>
      <c r="B15" s="55"/>
      <c r="C15" s="43"/>
      <c r="D15" s="10" t="s">
        <v>36</v>
      </c>
      <c r="E15" s="11">
        <f>IFERROR(COUNTIFS(RoutineDB!$D:$D,D15,RoutineDB!$E:$E,TRUE,RoutineDB!$A:$A,$K$3)/COUNTIFS(RoutineDB!$D:$D,D15,RoutineDB!$A:$A,$K$3),0)</f>
        <v>0</v>
      </c>
      <c r="F15" s="11"/>
      <c r="G15" s="11"/>
      <c r="H15" s="13"/>
      <c r="I15" s="14">
        <f>SUMIFS(RoutineDB!$G:$G,RoutineDB!$D:$D,D15,RoutineDB!$A:$A,$K$3)/60</f>
        <v>1</v>
      </c>
      <c r="K15" s="15">
        <f>K14+7</f>
        <v>46300</v>
      </c>
      <c r="L15" s="15">
        <f t="shared" ref="L15:Q15" si="1">L14+7</f>
        <v>46301</v>
      </c>
      <c r="M15" s="15">
        <f t="shared" si="1"/>
        <v>46302</v>
      </c>
      <c r="N15" s="15">
        <f t="shared" si="1"/>
        <v>46303</v>
      </c>
      <c r="O15" s="15">
        <f t="shared" si="1"/>
        <v>46304</v>
      </c>
      <c r="P15" s="15">
        <f t="shared" si="1"/>
        <v>46305</v>
      </c>
      <c r="Q15" s="15">
        <f t="shared" si="1"/>
        <v>46306</v>
      </c>
    </row>
    <row r="16" spans="1:17" ht="14.5" customHeight="1">
      <c r="A16" s="55"/>
      <c r="B16" s="55"/>
      <c r="C16" s="43"/>
      <c r="D16" s="10" t="s">
        <v>54</v>
      </c>
      <c r="E16" s="11">
        <f>IFERROR(COUNTIFS(RoutineDB!$D:$D,D16,RoutineDB!$E:$E,TRUE,RoutineDB!$A:$A,$K$3)/COUNTIFS(RoutineDB!$D:$D,D16,RoutineDB!$A:$A,$K$3),0)</f>
        <v>0</v>
      </c>
      <c r="F16" s="11"/>
      <c r="G16" s="11"/>
      <c r="H16" s="13"/>
      <c r="I16" s="14">
        <f>SUMIFS(RoutineDB!$G:$G,RoutineDB!$D:$D,D16,RoutineDB!$A:$A,$K$3)/60</f>
        <v>0</v>
      </c>
      <c r="K16" s="15">
        <f t="shared" ref="K16:K19" si="2">K15+7</f>
        <v>46307</v>
      </c>
      <c r="L16" s="15">
        <f t="shared" ref="L16:L19" si="3">L15+7</f>
        <v>46308</v>
      </c>
      <c r="M16" s="15">
        <f t="shared" ref="M16:M19" si="4">M15+7</f>
        <v>46309</v>
      </c>
      <c r="N16" s="15">
        <f t="shared" ref="N16:N19" si="5">N15+7</f>
        <v>46310</v>
      </c>
      <c r="O16" s="15">
        <f t="shared" ref="O16:O19" si="6">O15+7</f>
        <v>46311</v>
      </c>
      <c r="P16" s="15">
        <f t="shared" ref="P16:P19" si="7">P15+7</f>
        <v>46312</v>
      </c>
      <c r="Q16" s="15">
        <f t="shared" ref="Q16:Q19" si="8">Q15+7</f>
        <v>46313</v>
      </c>
    </row>
    <row r="17" spans="1:17" ht="14.5" customHeight="1">
      <c r="A17" s="38"/>
      <c r="B17" s="38"/>
      <c r="C17" s="43"/>
      <c r="D17" s="10" t="s">
        <v>31</v>
      </c>
      <c r="E17" s="11">
        <f>IFERROR(COUNTIFS(RoutineDB!$D:$D,D17,RoutineDB!$E:$E,TRUE,RoutineDB!$A:$A,$K$3)/COUNTIFS(RoutineDB!$D:$D,D17,RoutineDB!$A:$A,$K$3),0)</f>
        <v>0</v>
      </c>
      <c r="F17" s="11"/>
      <c r="G17" s="11"/>
      <c r="H17" s="13"/>
      <c r="I17" s="14">
        <f>SUMIFS(RoutineDB!$G:$G,RoutineDB!$D:$D,D17,RoutineDB!$A:$A,$K$3)/60</f>
        <v>1.5</v>
      </c>
      <c r="K17" s="15">
        <f t="shared" si="2"/>
        <v>46314</v>
      </c>
      <c r="L17" s="15">
        <f t="shared" si="3"/>
        <v>46315</v>
      </c>
      <c r="M17" s="15">
        <f t="shared" si="4"/>
        <v>46316</v>
      </c>
      <c r="N17" s="15">
        <f t="shared" si="5"/>
        <v>46317</v>
      </c>
      <c r="O17" s="15">
        <f t="shared" si="6"/>
        <v>46318</v>
      </c>
      <c r="P17" s="15">
        <f t="shared" si="7"/>
        <v>46319</v>
      </c>
      <c r="Q17" s="15">
        <f t="shared" si="8"/>
        <v>46320</v>
      </c>
    </row>
    <row r="18" spans="1:17" ht="14.5" customHeight="1">
      <c r="A18" s="55" t="s">
        <v>74</v>
      </c>
      <c r="B18" s="55"/>
      <c r="C18" s="42"/>
      <c r="D18" s="10" t="s">
        <v>55</v>
      </c>
      <c r="E18" s="11">
        <f>IFERROR(COUNTIFS(RoutineDB!$D:$D,D18,RoutineDB!$E:$E,TRUE,RoutineDB!$A:$A,$K$3)/COUNTIFS(RoutineDB!$D:$D,D18,RoutineDB!$A:$A,$K$3),0)</f>
        <v>0</v>
      </c>
      <c r="F18" s="11"/>
      <c r="G18" s="11"/>
      <c r="H18" s="13"/>
      <c r="I18" s="14">
        <f>SUMIFS(RoutineDB!$G:$G,RoutineDB!$D:$D,D18,RoutineDB!$A:$A,$K$3)/60</f>
        <v>0</v>
      </c>
      <c r="K18" s="15">
        <f t="shared" si="2"/>
        <v>46321</v>
      </c>
      <c r="L18" s="15">
        <f t="shared" si="3"/>
        <v>46322</v>
      </c>
      <c r="M18" s="15">
        <f t="shared" si="4"/>
        <v>46323</v>
      </c>
      <c r="N18" s="15">
        <f t="shared" si="5"/>
        <v>46324</v>
      </c>
      <c r="O18" s="15">
        <f t="shared" si="6"/>
        <v>46325</v>
      </c>
      <c r="P18" s="15">
        <f t="shared" si="7"/>
        <v>46326</v>
      </c>
      <c r="Q18" s="48">
        <f t="shared" si="8"/>
        <v>46327</v>
      </c>
    </row>
    <row r="19" spans="1:17" ht="14.5" customHeight="1">
      <c r="A19" s="55"/>
      <c r="B19" s="55"/>
      <c r="C19" s="42"/>
      <c r="K19" s="48">
        <f t="shared" si="2"/>
        <v>46328</v>
      </c>
      <c r="L19" s="48">
        <f t="shared" si="3"/>
        <v>46329</v>
      </c>
      <c r="M19" s="48">
        <f t="shared" si="4"/>
        <v>46330</v>
      </c>
      <c r="N19" s="48">
        <f t="shared" si="5"/>
        <v>46331</v>
      </c>
      <c r="O19" s="48">
        <f t="shared" si="6"/>
        <v>46332</v>
      </c>
      <c r="P19" s="48">
        <f t="shared" si="7"/>
        <v>46333</v>
      </c>
      <c r="Q19" s="48">
        <f t="shared" si="8"/>
        <v>46334</v>
      </c>
    </row>
    <row r="20" spans="1:17" ht="14.5" customHeight="1">
      <c r="A20" s="38"/>
      <c r="B20" s="38"/>
      <c r="C20" s="42"/>
    </row>
    <row r="21" spans="1:17">
      <c r="D21" s="4" t="s">
        <v>7</v>
      </c>
    </row>
    <row r="22" spans="1:17">
      <c r="D22" s="16" t="s">
        <v>65</v>
      </c>
      <c r="E22" s="16" t="s">
        <v>66</v>
      </c>
      <c r="F22" s="16" t="s">
        <v>67</v>
      </c>
      <c r="G22" s="16"/>
      <c r="H22" s="16"/>
      <c r="I22" s="16" t="s">
        <v>68</v>
      </c>
      <c r="J22" s="16" t="s">
        <v>69</v>
      </c>
    </row>
    <row r="23" spans="1:17">
      <c r="D23" s="17">
        <v>46302</v>
      </c>
      <c r="E23" s="18">
        <v>0.25</v>
      </c>
      <c r="F23" s="19" t="s">
        <v>16</v>
      </c>
      <c r="G23" s="20"/>
      <c r="H23" s="20"/>
      <c r="I23" s="11" t="s">
        <v>17</v>
      </c>
      <c r="J23" s="11" t="s">
        <v>53</v>
      </c>
      <c r="K23" s="21" t="s">
        <v>8</v>
      </c>
      <c r="L23" s="22"/>
      <c r="M23" s="22"/>
      <c r="N23" s="22"/>
      <c r="O23" s="22"/>
      <c r="P23" s="22"/>
      <c r="Q23" s="22"/>
    </row>
    <row r="24" spans="1:17">
      <c r="D24" s="17">
        <v>46302</v>
      </c>
      <c r="E24" s="18" t="s">
        <v>18</v>
      </c>
      <c r="F24" s="19" t="s">
        <v>19</v>
      </c>
      <c r="G24" s="20"/>
      <c r="H24" s="20"/>
      <c r="I24" s="11" t="s">
        <v>17</v>
      </c>
      <c r="J24" s="11" t="s">
        <v>53</v>
      </c>
      <c r="K24" s="23">
        <f>IFERROR(INDEX(Historyy!$E:$E,MATCH(K30,Historyy!$A:$A,0)),0)</f>
        <v>0</v>
      </c>
      <c r="L24" s="24">
        <f>IFERROR(INDEX(Historyy!$E:$E,MATCH(L30,Historyy!$A:$A,0)),0)</f>
        <v>0.26666666666666666</v>
      </c>
      <c r="M24" s="24">
        <f>IFERROR(INDEX(Historyy!$E:$E,MATCH(M30,Historyy!$A:$A,0)),0)</f>
        <v>0</v>
      </c>
      <c r="N24" s="24">
        <f>IFERROR(INDEX(Historyy!$E:$E,MATCH(N30,Historyy!$A:$A,0)),0)</f>
        <v>0</v>
      </c>
      <c r="O24" s="24">
        <f>IFERROR(INDEX(Historyy!$E:$E,MATCH(O30,Historyy!$A:$A,0)),0)</f>
        <v>0</v>
      </c>
      <c r="P24" s="24">
        <f>IFERROR(INDEX(Historyy!$E:$E,MATCH(P30,Historyy!$A:$A,0)),0)</f>
        <v>0</v>
      </c>
      <c r="Q24" s="64">
        <f>IFERROR(INDEX(Historyy!$E:$E,MATCH(Q30,Historyy!$A:$A,0)),0)</f>
        <v>0.4</v>
      </c>
    </row>
    <row r="25" spans="1:17">
      <c r="D25" s="17">
        <v>46302</v>
      </c>
      <c r="E25" s="18" t="s">
        <v>20</v>
      </c>
      <c r="F25" s="19" t="s">
        <v>21</v>
      </c>
      <c r="G25" s="20"/>
      <c r="H25" s="20"/>
      <c r="I25" s="11" t="s">
        <v>22</v>
      </c>
      <c r="J25" s="11" t="s">
        <v>53</v>
      </c>
      <c r="K25" s="25"/>
      <c r="L25" s="36"/>
      <c r="M25" s="36"/>
      <c r="N25" s="36"/>
      <c r="O25" s="36"/>
      <c r="P25" s="36"/>
      <c r="Q25" s="65"/>
    </row>
    <row r="26" spans="1:17">
      <c r="D26" s="17">
        <v>46302</v>
      </c>
      <c r="E26" s="18" t="s">
        <v>23</v>
      </c>
      <c r="F26" s="19" t="s">
        <v>24</v>
      </c>
      <c r="G26" s="20"/>
      <c r="H26" s="20"/>
      <c r="I26" s="11" t="s">
        <v>17</v>
      </c>
      <c r="J26" s="11" t="s">
        <v>53</v>
      </c>
      <c r="K26" s="25"/>
      <c r="L26" s="36"/>
      <c r="M26" s="36"/>
      <c r="N26" s="36"/>
      <c r="O26" s="36"/>
      <c r="P26" s="36"/>
      <c r="Q26" s="65"/>
    </row>
    <row r="27" spans="1:17">
      <c r="D27" s="17">
        <v>46302</v>
      </c>
      <c r="E27" s="18" t="s">
        <v>25</v>
      </c>
      <c r="F27" s="19" t="s">
        <v>26</v>
      </c>
      <c r="G27" s="20"/>
      <c r="H27" s="20"/>
      <c r="I27" s="11" t="s">
        <v>22</v>
      </c>
      <c r="J27" s="11" t="s">
        <v>53</v>
      </c>
      <c r="K27" s="25"/>
      <c r="L27" s="36"/>
      <c r="M27" s="36"/>
      <c r="N27" s="36"/>
      <c r="O27" s="36"/>
      <c r="P27" s="36"/>
      <c r="Q27" s="65"/>
    </row>
    <row r="28" spans="1:17">
      <c r="D28" s="17">
        <v>46302</v>
      </c>
      <c r="E28" s="18" t="s">
        <v>27</v>
      </c>
      <c r="F28" s="19" t="s">
        <v>28</v>
      </c>
      <c r="G28" s="20"/>
      <c r="H28" s="20"/>
      <c r="I28" s="11" t="s">
        <v>17</v>
      </c>
      <c r="J28" s="11" t="s">
        <v>53</v>
      </c>
      <c r="K28" s="25"/>
      <c r="L28" s="36"/>
      <c r="M28" s="36"/>
      <c r="N28" s="36"/>
      <c r="O28" s="36"/>
      <c r="P28" s="36"/>
      <c r="Q28" s="65"/>
    </row>
    <row r="29" spans="1:17">
      <c r="D29" s="17">
        <v>46302</v>
      </c>
      <c r="E29" s="18" t="s">
        <v>29</v>
      </c>
      <c r="F29" s="19" t="s">
        <v>30</v>
      </c>
      <c r="G29" s="20"/>
      <c r="H29" s="20"/>
      <c r="I29" s="11" t="s">
        <v>31</v>
      </c>
      <c r="J29" s="11" t="s">
        <v>52</v>
      </c>
      <c r="K29" s="25"/>
      <c r="L29" s="36"/>
      <c r="M29" s="36"/>
      <c r="N29" s="36"/>
      <c r="O29" s="36"/>
      <c r="P29" s="36"/>
      <c r="Q29" s="65"/>
    </row>
    <row r="30" spans="1:17">
      <c r="D30" s="17">
        <v>46302</v>
      </c>
      <c r="E30" s="18" t="s">
        <v>32</v>
      </c>
      <c r="F30" s="19" t="s">
        <v>24</v>
      </c>
      <c r="G30" s="20"/>
      <c r="H30" s="20"/>
      <c r="I30" s="11" t="s">
        <v>17</v>
      </c>
      <c r="J30" s="11" t="s">
        <v>52</v>
      </c>
      <c r="K30" s="26">
        <v>46296</v>
      </c>
      <c r="L30" s="26">
        <v>46297</v>
      </c>
      <c r="M30" s="26">
        <v>46298</v>
      </c>
      <c r="N30" s="26">
        <v>46299</v>
      </c>
      <c r="O30" s="26">
        <v>46300</v>
      </c>
      <c r="P30" s="26">
        <v>46301</v>
      </c>
      <c r="Q30" s="26">
        <v>46302</v>
      </c>
    </row>
    <row r="31" spans="1:17">
      <c r="D31" s="17">
        <v>46302</v>
      </c>
      <c r="E31" s="18" t="s">
        <v>33</v>
      </c>
      <c r="F31" s="19" t="s">
        <v>34</v>
      </c>
      <c r="G31" s="20"/>
      <c r="H31" s="20"/>
      <c r="I31" s="11" t="s">
        <v>17</v>
      </c>
      <c r="J31" s="11" t="s">
        <v>52</v>
      </c>
    </row>
    <row r="32" spans="1:17">
      <c r="D32" s="17">
        <v>46302</v>
      </c>
      <c r="E32" s="18" t="s">
        <v>35</v>
      </c>
      <c r="F32" s="19" t="s">
        <v>36</v>
      </c>
      <c r="G32" s="20"/>
      <c r="H32" s="20"/>
      <c r="I32" s="11" t="s">
        <v>36</v>
      </c>
      <c r="J32" s="11" t="s">
        <v>52</v>
      </c>
    </row>
    <row r="33" spans="4:17">
      <c r="D33" s="17">
        <v>46302</v>
      </c>
      <c r="E33" s="18" t="s">
        <v>37</v>
      </c>
      <c r="F33" s="19" t="s">
        <v>38</v>
      </c>
      <c r="G33" s="20"/>
      <c r="H33" s="20"/>
      <c r="I33" s="11" t="s">
        <v>17</v>
      </c>
      <c r="J33" s="11" t="s">
        <v>52</v>
      </c>
    </row>
    <row r="34" spans="4:17">
      <c r="D34" s="17">
        <v>46302</v>
      </c>
      <c r="E34" s="18" t="s">
        <v>39</v>
      </c>
      <c r="F34" s="19" t="s">
        <v>40</v>
      </c>
      <c r="G34" s="20"/>
      <c r="H34" s="20"/>
      <c r="I34" s="11" t="s">
        <v>22</v>
      </c>
      <c r="J34" s="11" t="s">
        <v>52</v>
      </c>
      <c r="K34" s="21" t="s">
        <v>9</v>
      </c>
      <c r="L34" s="22"/>
      <c r="M34" s="22"/>
      <c r="N34" s="22"/>
      <c r="O34" s="22"/>
      <c r="P34" s="22"/>
      <c r="Q34" s="22"/>
    </row>
    <row r="35" spans="4:17">
      <c r="D35" s="17">
        <v>46302</v>
      </c>
      <c r="E35" s="18" t="s">
        <v>41</v>
      </c>
      <c r="F35" s="19" t="s">
        <v>42</v>
      </c>
      <c r="G35" s="20"/>
      <c r="H35" s="20"/>
      <c r="I35" s="11" t="s">
        <v>43</v>
      </c>
      <c r="J35" s="11" t="s">
        <v>52</v>
      </c>
      <c r="K35" s="83">
        <v>46302</v>
      </c>
      <c r="L35" s="27"/>
      <c r="M35" s="28">
        <v>0.4</v>
      </c>
      <c r="N35" s="27"/>
      <c r="O35" s="29">
        <v>6.5</v>
      </c>
      <c r="P35" s="5"/>
      <c r="Q35" s="5"/>
    </row>
    <row r="36" spans="4:17">
      <c r="D36" s="17">
        <v>46302</v>
      </c>
      <c r="E36" s="18" t="s">
        <v>44</v>
      </c>
      <c r="F36" s="19" t="s">
        <v>45</v>
      </c>
      <c r="G36" s="20"/>
      <c r="H36" s="20"/>
      <c r="I36" s="11" t="s">
        <v>17</v>
      </c>
      <c r="J36" s="11" t="s">
        <v>52</v>
      </c>
      <c r="K36" s="84">
        <v>46297</v>
      </c>
      <c r="L36" s="5"/>
      <c r="M36" s="30">
        <v>0.26666666666666666</v>
      </c>
      <c r="N36" s="5"/>
      <c r="O36" s="31">
        <v>1</v>
      </c>
      <c r="P36" s="5"/>
      <c r="Q36" s="5"/>
    </row>
    <row r="37" spans="4:17">
      <c r="D37" s="17">
        <v>46302</v>
      </c>
      <c r="E37" s="18">
        <v>0.9375</v>
      </c>
      <c r="F37" s="19" t="s">
        <v>46</v>
      </c>
      <c r="G37" s="20"/>
      <c r="H37" s="20"/>
      <c r="I37" s="11" t="s">
        <v>17</v>
      </c>
      <c r="J37" s="11" t="s">
        <v>52</v>
      </c>
      <c r="K37" s="6"/>
      <c r="L37" s="5"/>
      <c r="M37" s="30"/>
      <c r="N37" s="5"/>
      <c r="O37" s="31"/>
      <c r="P37" s="5"/>
      <c r="Q37" s="5"/>
    </row>
    <row r="38" spans="4:17">
      <c r="K38" s="6"/>
      <c r="L38" s="5"/>
      <c r="M38" s="30"/>
      <c r="N38" s="5"/>
      <c r="O38" s="31"/>
      <c r="P38" s="5"/>
      <c r="Q38" s="5"/>
    </row>
    <row r="39" spans="4:17">
      <c r="K39" s="6"/>
      <c r="L39" s="5"/>
      <c r="M39" s="30"/>
      <c r="N39" s="5"/>
      <c r="O39" s="31"/>
      <c r="P39" s="5"/>
      <c r="Q39" s="5"/>
    </row>
    <row r="42" spans="4:17">
      <c r="K42" s="8"/>
      <c r="L42" s="8"/>
    </row>
    <row r="43" spans="4:17">
      <c r="K43" s="32"/>
      <c r="L43" s="33"/>
    </row>
    <row r="44" spans="4:17">
      <c r="K44" s="32"/>
      <c r="L44" s="33"/>
    </row>
  </sheetData>
  <mergeCells count="17">
    <mergeCell ref="Q24:Q29"/>
    <mergeCell ref="G8:I9"/>
    <mergeCell ref="D7:F7"/>
    <mergeCell ref="D8:F9"/>
    <mergeCell ref="J7:M7"/>
    <mergeCell ref="J8:M9"/>
    <mergeCell ref="A11:B13"/>
    <mergeCell ref="A14:B16"/>
    <mergeCell ref="A18:B19"/>
    <mergeCell ref="N7:Q7"/>
    <mergeCell ref="N8:Q9"/>
    <mergeCell ref="D2:J3"/>
    <mergeCell ref="G7:I7"/>
    <mergeCell ref="A1:B2"/>
    <mergeCell ref="A8:B10"/>
    <mergeCell ref="K2:L2"/>
    <mergeCell ref="K3:L3"/>
  </mergeCells>
  <conditionalFormatting sqref="E14:E18">
    <cfRule type="dataBar" priority="4">
      <dataBar>
        <cfvo type="num" val="0"/>
        <cfvo type="num" val="1"/>
        <color rgb="FF008AEF"/>
      </dataBar>
      <extLst>
        <ext xmlns:x14="http://schemas.microsoft.com/office/spreadsheetml/2009/9/main" uri="{B025F937-C7B1-47D3-B67F-A62EFF666E3E}">
          <x14:id>{DCD7317F-0432-47EE-933F-2B76E75F10BC}</x14:id>
        </ext>
      </extLst>
    </cfRule>
  </conditionalFormatting>
  <conditionalFormatting sqref="K14:Q19">
    <cfRule type="expression" dxfId="4" priority="3">
      <formula>MONTH(K14)&lt;&gt;MONTH($K$3)</formula>
    </cfRule>
    <cfRule type="expression" dxfId="3" priority="8">
      <formula>K14=$K$3</formula>
    </cfRule>
  </conditionalFormatting>
  <conditionalFormatting sqref="K24:Q24">
    <cfRule type="dataBar" priority="7">
      <dataBar>
        <cfvo type="num" val="0"/>
        <cfvo type="num" val="1"/>
        <color rgb="FFFFB628"/>
      </dataBar>
      <extLst>
        <ext xmlns:x14="http://schemas.microsoft.com/office/spreadsheetml/2009/9/main" uri="{B025F937-C7B1-47D3-B67F-A62EFF666E3E}">
          <x14:id>{B7D80115-8D04-4794-B088-A716D1AA6980}</x14:id>
        </ext>
      </extLst>
    </cfRule>
  </conditionalFormatting>
  <conditionalFormatting sqref="K30:Q30">
    <cfRule type="expression" dxfId="2" priority="6">
      <formula>K30=$K$3</formula>
    </cfRule>
  </conditionalFormatting>
  <conditionalFormatting sqref="J23:J37">
    <cfRule type="containsText" dxfId="1" priority="1" operator="containsText" text="DONE">
      <formula>NOT(ISERROR(SEARCH("DONE",J23)))</formula>
    </cfRule>
  </conditionalFormatting>
  <hyperlinks>
    <hyperlink ref="A18" location="DateList!A1" display="DateList" xr:uid="{AF850F7C-A59E-4F5C-81E6-81F533C34B73}"/>
    <hyperlink ref="A14" location="RoutineDB!A1" display="RoutineDB" xr:uid="{4C3589C4-75E4-46D6-9DE5-5A4EB410DDE1}"/>
    <hyperlink ref="A11" location="Historyy!A1" display="History" xr:uid="{9185E302-BC73-4940-A4F7-7DFA1D6484C5}"/>
    <hyperlink ref="A8" location="'Daily Routine'!A1" display="Daily Routine" xr:uid="{226D5EE1-FF81-4C84-89A2-E507B4BB6971}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CD7317F-0432-47EE-933F-2B76E75F10BC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008AEF"/>
              <x14:negativeFillColor rgb="FFFF0000"/>
              <x14:negativeBorderColor rgb="FFFF0000"/>
              <x14:axisColor rgb="FF000000"/>
            </x14:dataBar>
          </x14:cfRule>
          <xm:sqref>E14:E18</xm:sqref>
        </x14:conditionalFormatting>
        <x14:conditionalFormatting xmlns:xm="http://schemas.microsoft.com/office/excel/2006/main">
          <x14:cfRule type="dataBar" id="{B7D80115-8D04-4794-B088-A716D1AA6980}">
            <x14:dataBar minLength="0" maxLength="100" border="1" gradient="0">
              <x14:cfvo type="num">
                <xm:f>0</xm:f>
              </x14:cfvo>
              <x14:cfvo type="num">
                <xm:f>1</xm:f>
              </x14:cfvo>
              <x14:borderColor rgb="FF000000"/>
              <x14:negativeFillColor rgb="FFFF0000"/>
              <x14:axisColor rgb="FF000000"/>
            </x14:dataBar>
          </x14:cfRule>
          <xm:sqref>K24:Q24</xm:sqref>
        </x14:conditionalFormatting>
        <x14:conditionalFormatting xmlns:xm="http://schemas.microsoft.com/office/excel/2006/main">
          <x14:cfRule type="containsText" priority="2" operator="containsText" id="{C84B18EB-3C75-4E17-ABA6-2F563FB7F4D8}">
            <xm:f>NOT(ISERROR(SEARCH("-",J23)))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J23:J37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ECAE628-66BB-4806-AAE1-821F758EE76E}">
          <x14:formula1>
            <xm:f>DateList!$A$2:$A$100</xm:f>
          </x14:formula1>
          <xm:sqref>K3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250A1-8A6D-4816-8DA5-66449A90459B}">
  <sheetPr codeName="Sheet2"/>
  <dimension ref="A1:F16"/>
  <sheetViews>
    <sheetView tabSelected="1" workbookViewId="0">
      <selection activeCell="G6" sqref="G6"/>
    </sheetView>
  </sheetViews>
  <sheetFormatPr defaultRowHeight="14.5"/>
  <cols>
    <col min="1" max="1" width="10.453125" bestFit="1" customWidth="1"/>
    <col min="2" max="2" width="11.453125" bestFit="1" customWidth="1"/>
    <col min="3" max="3" width="27.08984375" bestFit="1" customWidth="1"/>
    <col min="4" max="4" width="9" bestFit="1" customWidth="1"/>
  </cols>
  <sheetData>
    <row r="1" spans="1:6">
      <c r="A1" t="s">
        <v>10</v>
      </c>
      <c r="B1" t="s">
        <v>11</v>
      </c>
      <c r="C1" t="s">
        <v>12</v>
      </c>
      <c r="D1" t="s">
        <v>13</v>
      </c>
      <c r="E1" t="s">
        <v>14</v>
      </c>
      <c r="F1" t="s">
        <v>15</v>
      </c>
    </row>
    <row r="2" spans="1:6">
      <c r="A2" s="82">
        <v>46302</v>
      </c>
      <c r="B2" s="44">
        <v>0.25</v>
      </c>
      <c r="C2" t="s">
        <v>16</v>
      </c>
      <c r="D2" t="s">
        <v>17</v>
      </c>
      <c r="E2" s="47" t="b">
        <v>1</v>
      </c>
    </row>
    <row r="3" spans="1:6">
      <c r="A3" s="82">
        <v>46302</v>
      </c>
      <c r="B3" s="45" t="s">
        <v>18</v>
      </c>
      <c r="C3" t="s">
        <v>19</v>
      </c>
      <c r="D3" t="s">
        <v>17</v>
      </c>
      <c r="E3" s="47" t="b">
        <v>1</v>
      </c>
    </row>
    <row r="4" spans="1:6">
      <c r="A4" s="82">
        <v>46302</v>
      </c>
      <c r="B4" s="45" t="s">
        <v>20</v>
      </c>
      <c r="C4" t="s">
        <v>21</v>
      </c>
      <c r="D4" t="s">
        <v>22</v>
      </c>
      <c r="E4" s="47" t="b">
        <v>1</v>
      </c>
    </row>
    <row r="5" spans="1:6">
      <c r="A5" s="82">
        <v>46302</v>
      </c>
      <c r="B5" s="45" t="s">
        <v>23</v>
      </c>
      <c r="C5" t="s">
        <v>24</v>
      </c>
      <c r="D5" t="s">
        <v>17</v>
      </c>
      <c r="E5" s="47" t="b">
        <v>1</v>
      </c>
    </row>
    <row r="6" spans="1:6">
      <c r="A6" s="82">
        <v>46302</v>
      </c>
      <c r="B6" s="45" t="s">
        <v>25</v>
      </c>
      <c r="C6" t="s">
        <v>26</v>
      </c>
      <c r="D6" t="s">
        <v>22</v>
      </c>
      <c r="E6" s="47" t="b">
        <v>1</v>
      </c>
    </row>
    <row r="7" spans="1:6">
      <c r="A7" s="82">
        <v>46302</v>
      </c>
      <c r="B7" s="45" t="s">
        <v>27</v>
      </c>
      <c r="C7" t="s">
        <v>28</v>
      </c>
      <c r="D7" t="s">
        <v>17</v>
      </c>
      <c r="E7" s="47" t="b">
        <v>1</v>
      </c>
    </row>
    <row r="8" spans="1:6">
      <c r="A8" s="82">
        <v>46302</v>
      </c>
      <c r="B8" s="45" t="s">
        <v>29</v>
      </c>
      <c r="C8" t="s">
        <v>30</v>
      </c>
      <c r="D8" t="s">
        <v>31</v>
      </c>
      <c r="E8" s="47" t="b">
        <v>0</v>
      </c>
    </row>
    <row r="9" spans="1:6">
      <c r="A9" s="82">
        <v>46302</v>
      </c>
      <c r="B9" s="45" t="s">
        <v>32</v>
      </c>
      <c r="C9" t="s">
        <v>24</v>
      </c>
      <c r="D9" t="s">
        <v>17</v>
      </c>
      <c r="E9" s="47" t="b">
        <v>0</v>
      </c>
    </row>
    <row r="10" spans="1:6">
      <c r="A10" s="82">
        <v>46302</v>
      </c>
      <c r="B10" s="45" t="s">
        <v>33</v>
      </c>
      <c r="C10" t="s">
        <v>34</v>
      </c>
      <c r="D10" t="s">
        <v>17</v>
      </c>
      <c r="E10" s="47" t="b">
        <v>0</v>
      </c>
    </row>
    <row r="11" spans="1:6">
      <c r="A11" s="82">
        <v>46302</v>
      </c>
      <c r="B11" s="45" t="s">
        <v>35</v>
      </c>
      <c r="C11" t="s">
        <v>36</v>
      </c>
      <c r="D11" t="s">
        <v>36</v>
      </c>
      <c r="E11" s="47" t="b">
        <v>0</v>
      </c>
    </row>
    <row r="12" spans="1:6">
      <c r="A12" s="82">
        <v>46302</v>
      </c>
      <c r="B12" s="45" t="s">
        <v>37</v>
      </c>
      <c r="C12" t="s">
        <v>38</v>
      </c>
      <c r="D12" t="s">
        <v>17</v>
      </c>
      <c r="E12" s="47" t="b">
        <v>0</v>
      </c>
    </row>
    <row r="13" spans="1:6">
      <c r="A13" s="82">
        <v>46302</v>
      </c>
      <c r="B13" s="45" t="s">
        <v>39</v>
      </c>
      <c r="C13" t="s">
        <v>40</v>
      </c>
      <c r="D13" t="s">
        <v>22</v>
      </c>
      <c r="E13" s="47" t="b">
        <v>0</v>
      </c>
    </row>
    <row r="14" spans="1:6">
      <c r="A14" s="82">
        <v>46302</v>
      </c>
      <c r="B14" s="45" t="s">
        <v>41</v>
      </c>
      <c r="C14" t="s">
        <v>42</v>
      </c>
      <c r="D14" t="s">
        <v>43</v>
      </c>
      <c r="E14" s="47" t="b">
        <v>0</v>
      </c>
    </row>
    <row r="15" spans="1:6">
      <c r="A15" s="82">
        <v>46302</v>
      </c>
      <c r="B15" s="45" t="s">
        <v>44</v>
      </c>
      <c r="C15" t="s">
        <v>45</v>
      </c>
      <c r="D15" t="s">
        <v>17</v>
      </c>
      <c r="E15" s="47" t="b">
        <v>0</v>
      </c>
    </row>
    <row r="16" spans="1:6">
      <c r="A16" s="82">
        <v>46302</v>
      </c>
      <c r="B16" s="44">
        <v>0.9375</v>
      </c>
      <c r="C16" t="s">
        <v>46</v>
      </c>
      <c r="D16" t="s">
        <v>17</v>
      </c>
      <c r="E16" s="47" t="b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5" r:id="rId3" name="Check Box 1231">
              <controlPr defaultSize="0" autoFill="0" autoLine="0" autoPict="0" macro="[0]!CheckboxChanged">
                <anchor moveWithCells="1">
                  <from>
                    <xdr:col>4</xdr:col>
                    <xdr:colOff>25400</xdr:colOff>
                    <xdr:row>1</xdr:row>
                    <xdr:rowOff>25400</xdr:rowOff>
                  </from>
                  <to>
                    <xdr:col>4</xdr:col>
                    <xdr:colOff>584200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6" r:id="rId4" name="Check Box 1232">
              <controlPr defaultSize="0" autoFill="0" autoLine="0" autoPict="0" macro="[0]!CheckboxChanged">
                <anchor moveWithCells="1">
                  <from>
                    <xdr:col>4</xdr:col>
                    <xdr:colOff>25400</xdr:colOff>
                    <xdr:row>2</xdr:row>
                    <xdr:rowOff>25400</xdr:rowOff>
                  </from>
                  <to>
                    <xdr:col>4</xdr:col>
                    <xdr:colOff>584200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7" r:id="rId5" name="Check Box 1233">
              <controlPr defaultSize="0" autoFill="0" autoLine="0" autoPict="0" macro="[0]!CheckboxChanged">
                <anchor moveWithCells="1">
                  <from>
                    <xdr:col>4</xdr:col>
                    <xdr:colOff>25400</xdr:colOff>
                    <xdr:row>3</xdr:row>
                    <xdr:rowOff>25400</xdr:rowOff>
                  </from>
                  <to>
                    <xdr:col>4</xdr:col>
                    <xdr:colOff>584200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8" r:id="rId6" name="Check Box 1234">
              <controlPr defaultSize="0" autoFill="0" autoLine="0" autoPict="0" macro="[0]!CheckboxChanged">
                <anchor moveWithCells="1">
                  <from>
                    <xdr:col>4</xdr:col>
                    <xdr:colOff>25400</xdr:colOff>
                    <xdr:row>4</xdr:row>
                    <xdr:rowOff>25400</xdr:rowOff>
                  </from>
                  <to>
                    <xdr:col>4</xdr:col>
                    <xdr:colOff>584200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9" r:id="rId7" name="Check Box 1235">
              <controlPr defaultSize="0" autoFill="0" autoLine="0" autoPict="0" macro="[0]!CheckboxChanged">
                <anchor moveWithCells="1">
                  <from>
                    <xdr:col>4</xdr:col>
                    <xdr:colOff>25400</xdr:colOff>
                    <xdr:row>5</xdr:row>
                    <xdr:rowOff>25400</xdr:rowOff>
                  </from>
                  <to>
                    <xdr:col>4</xdr:col>
                    <xdr:colOff>584200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80" r:id="rId8" name="Check Box 1236">
              <controlPr defaultSize="0" autoFill="0" autoLine="0" autoPict="0" macro="[0]!CheckboxChanged">
                <anchor moveWithCells="1">
                  <from>
                    <xdr:col>4</xdr:col>
                    <xdr:colOff>25400</xdr:colOff>
                    <xdr:row>6</xdr:row>
                    <xdr:rowOff>25400</xdr:rowOff>
                  </from>
                  <to>
                    <xdr:col>4</xdr:col>
                    <xdr:colOff>584200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81" r:id="rId9" name="Check Box 1237">
              <controlPr defaultSize="0" autoFill="0" autoLine="0" autoPict="0" macro="[0]!CheckboxChanged">
                <anchor moveWithCells="1">
                  <from>
                    <xdr:col>4</xdr:col>
                    <xdr:colOff>25400</xdr:colOff>
                    <xdr:row>7</xdr:row>
                    <xdr:rowOff>25400</xdr:rowOff>
                  </from>
                  <to>
                    <xdr:col>4</xdr:col>
                    <xdr:colOff>584200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82" r:id="rId10" name="Check Box 1238">
              <controlPr defaultSize="0" autoFill="0" autoLine="0" autoPict="0" macro="[0]!CheckboxChanged">
                <anchor moveWithCells="1">
                  <from>
                    <xdr:col>4</xdr:col>
                    <xdr:colOff>25400</xdr:colOff>
                    <xdr:row>8</xdr:row>
                    <xdr:rowOff>25400</xdr:rowOff>
                  </from>
                  <to>
                    <xdr:col>4</xdr:col>
                    <xdr:colOff>584200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83" r:id="rId11" name="Check Box 1239">
              <controlPr defaultSize="0" autoFill="0" autoLine="0" autoPict="0" macro="[0]!CheckboxChanged">
                <anchor moveWithCells="1">
                  <from>
                    <xdr:col>4</xdr:col>
                    <xdr:colOff>25400</xdr:colOff>
                    <xdr:row>9</xdr:row>
                    <xdr:rowOff>25400</xdr:rowOff>
                  </from>
                  <to>
                    <xdr:col>4</xdr:col>
                    <xdr:colOff>584200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84" r:id="rId12" name="Check Box 1240">
              <controlPr defaultSize="0" autoFill="0" autoLine="0" autoPict="0" macro="[0]!CheckboxChanged">
                <anchor moveWithCells="1">
                  <from>
                    <xdr:col>4</xdr:col>
                    <xdr:colOff>25400</xdr:colOff>
                    <xdr:row>10</xdr:row>
                    <xdr:rowOff>25400</xdr:rowOff>
                  </from>
                  <to>
                    <xdr:col>4</xdr:col>
                    <xdr:colOff>584200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85" r:id="rId13" name="Check Box 1241">
              <controlPr defaultSize="0" autoFill="0" autoLine="0" autoPict="0" macro="[0]!CheckboxChanged">
                <anchor moveWithCells="1">
                  <from>
                    <xdr:col>4</xdr:col>
                    <xdr:colOff>25400</xdr:colOff>
                    <xdr:row>11</xdr:row>
                    <xdr:rowOff>25400</xdr:rowOff>
                  </from>
                  <to>
                    <xdr:col>4</xdr:col>
                    <xdr:colOff>584200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86" r:id="rId14" name="Check Box 1242">
              <controlPr defaultSize="0" autoFill="0" autoLine="0" autoPict="0" macro="[0]!CheckboxChanged">
                <anchor moveWithCells="1">
                  <from>
                    <xdr:col>4</xdr:col>
                    <xdr:colOff>25400</xdr:colOff>
                    <xdr:row>12</xdr:row>
                    <xdr:rowOff>25400</xdr:rowOff>
                  </from>
                  <to>
                    <xdr:col>4</xdr:col>
                    <xdr:colOff>584200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87" r:id="rId15" name="Check Box 1243">
              <controlPr defaultSize="0" autoFill="0" autoLine="0" autoPict="0" macro="[0]!CheckboxChanged">
                <anchor moveWithCells="1">
                  <from>
                    <xdr:col>4</xdr:col>
                    <xdr:colOff>25400</xdr:colOff>
                    <xdr:row>13</xdr:row>
                    <xdr:rowOff>25400</xdr:rowOff>
                  </from>
                  <to>
                    <xdr:col>4</xdr:col>
                    <xdr:colOff>584200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88" r:id="rId16" name="Check Box 1244">
              <controlPr defaultSize="0" autoFill="0" autoLine="0" autoPict="0" macro="[0]!CheckboxChanged">
                <anchor moveWithCells="1">
                  <from>
                    <xdr:col>4</xdr:col>
                    <xdr:colOff>25400</xdr:colOff>
                    <xdr:row>14</xdr:row>
                    <xdr:rowOff>25400</xdr:rowOff>
                  </from>
                  <to>
                    <xdr:col>4</xdr:col>
                    <xdr:colOff>584200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89" r:id="rId17" name="Check Box 1245">
              <controlPr defaultSize="0" autoFill="0" autoLine="0" autoPict="0" macro="[0]!CheckboxChanged">
                <anchor moveWithCells="1">
                  <from>
                    <xdr:col>4</xdr:col>
                    <xdr:colOff>25400</xdr:colOff>
                    <xdr:row>15</xdr:row>
                    <xdr:rowOff>25400</xdr:rowOff>
                  </from>
                  <to>
                    <xdr:col>4</xdr:col>
                    <xdr:colOff>584200</xdr:colOff>
                    <xdr:row>16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E2483-6B6D-462E-BCD5-64A5DCDA9A67}">
  <sheetPr codeName="Sheet3"/>
  <dimension ref="A1:G31"/>
  <sheetViews>
    <sheetView workbookViewId="0">
      <selection activeCell="I7" sqref="I7"/>
    </sheetView>
  </sheetViews>
  <sheetFormatPr defaultRowHeight="14.5"/>
  <cols>
    <col min="1" max="1" width="10.453125" bestFit="1" customWidth="1"/>
    <col min="2" max="2" width="8.7265625" style="45"/>
    <col min="3" max="3" width="27.08984375" style="46" bestFit="1" customWidth="1"/>
    <col min="4" max="4" width="9" bestFit="1" customWidth="1"/>
    <col min="5" max="5" width="6.453125" bestFit="1" customWidth="1"/>
    <col min="6" max="6" width="7.26953125" bestFit="1" customWidth="1"/>
    <col min="7" max="7" width="12.7265625" bestFit="1" customWidth="1"/>
  </cols>
  <sheetData>
    <row r="1" spans="1:7">
      <c r="A1" t="s">
        <v>10</v>
      </c>
      <c r="B1" s="45" t="s">
        <v>11</v>
      </c>
      <c r="C1" s="46" t="s">
        <v>12</v>
      </c>
      <c r="D1" t="s">
        <v>13</v>
      </c>
      <c r="E1" t="s">
        <v>14</v>
      </c>
      <c r="F1" t="s">
        <v>15</v>
      </c>
      <c r="G1" t="s">
        <v>47</v>
      </c>
    </row>
    <row r="2" spans="1:7">
      <c r="A2" s="3">
        <v>46297</v>
      </c>
      <c r="B2" s="45">
        <v>0.25</v>
      </c>
      <c r="C2" s="46" t="s">
        <v>16</v>
      </c>
      <c r="D2" t="s">
        <v>17</v>
      </c>
      <c r="E2" t="b">
        <v>1</v>
      </c>
      <c r="G2">
        <v>0</v>
      </c>
    </row>
    <row r="3" spans="1:7">
      <c r="A3" s="3">
        <v>46297</v>
      </c>
      <c r="B3" s="45" t="s">
        <v>18</v>
      </c>
      <c r="C3" s="46" t="s">
        <v>19</v>
      </c>
      <c r="D3" t="s">
        <v>17</v>
      </c>
      <c r="E3" t="b">
        <v>1</v>
      </c>
      <c r="G3">
        <v>30</v>
      </c>
    </row>
    <row r="4" spans="1:7">
      <c r="A4" s="3">
        <v>46297</v>
      </c>
      <c r="B4" s="45" t="s">
        <v>20</v>
      </c>
      <c r="C4" s="46" t="s">
        <v>21</v>
      </c>
      <c r="D4" t="s">
        <v>22</v>
      </c>
      <c r="E4" t="b">
        <v>0</v>
      </c>
      <c r="G4">
        <v>120</v>
      </c>
    </row>
    <row r="5" spans="1:7">
      <c r="A5" s="3">
        <v>46297</v>
      </c>
      <c r="B5" s="45" t="s">
        <v>23</v>
      </c>
      <c r="C5" s="46" t="s">
        <v>24</v>
      </c>
      <c r="D5" t="s">
        <v>17</v>
      </c>
      <c r="E5" t="b">
        <v>0</v>
      </c>
      <c r="G5">
        <v>30</v>
      </c>
    </row>
    <row r="6" spans="1:7">
      <c r="A6" s="3">
        <v>46297</v>
      </c>
      <c r="B6" s="45" t="s">
        <v>25</v>
      </c>
      <c r="C6" s="46" t="s">
        <v>26</v>
      </c>
      <c r="D6" t="s">
        <v>22</v>
      </c>
      <c r="E6" t="b">
        <v>0</v>
      </c>
      <c r="G6">
        <v>120</v>
      </c>
    </row>
    <row r="7" spans="1:7">
      <c r="A7" s="3">
        <v>46297</v>
      </c>
      <c r="B7" s="45" t="s">
        <v>27</v>
      </c>
      <c r="C7" s="46" t="s">
        <v>28</v>
      </c>
      <c r="D7" t="s">
        <v>17</v>
      </c>
      <c r="E7" t="b">
        <v>0</v>
      </c>
      <c r="G7">
        <v>90</v>
      </c>
    </row>
    <row r="8" spans="1:7">
      <c r="A8" s="3">
        <v>46297</v>
      </c>
      <c r="B8" s="45" t="s">
        <v>29</v>
      </c>
      <c r="C8" s="46" t="s">
        <v>30</v>
      </c>
      <c r="D8" t="s">
        <v>31</v>
      </c>
      <c r="E8" t="b">
        <v>0</v>
      </c>
      <c r="G8">
        <v>90</v>
      </c>
    </row>
    <row r="9" spans="1:7">
      <c r="A9" s="3">
        <v>46297</v>
      </c>
      <c r="B9" s="45" t="s">
        <v>32</v>
      </c>
      <c r="C9" s="46" t="s">
        <v>24</v>
      </c>
      <c r="D9" t="s">
        <v>17</v>
      </c>
      <c r="E9" t="b">
        <v>0</v>
      </c>
      <c r="G9">
        <v>60</v>
      </c>
    </row>
    <row r="10" spans="1:7">
      <c r="A10" s="3">
        <v>46297</v>
      </c>
      <c r="B10" s="45" t="s">
        <v>33</v>
      </c>
      <c r="C10" s="46" t="s">
        <v>34</v>
      </c>
      <c r="D10" t="s">
        <v>17</v>
      </c>
      <c r="E10" t="b">
        <v>0</v>
      </c>
      <c r="G10">
        <v>30</v>
      </c>
    </row>
    <row r="11" spans="1:7">
      <c r="A11" s="3">
        <v>46297</v>
      </c>
      <c r="B11" s="45" t="s">
        <v>35</v>
      </c>
      <c r="C11" s="46" t="s">
        <v>36</v>
      </c>
      <c r="D11" t="s">
        <v>36</v>
      </c>
      <c r="E11" t="b">
        <v>0</v>
      </c>
      <c r="G11">
        <v>60</v>
      </c>
    </row>
    <row r="12" spans="1:7">
      <c r="A12" s="3">
        <v>46297</v>
      </c>
      <c r="B12" s="45" t="s">
        <v>37</v>
      </c>
      <c r="C12" s="46" t="s">
        <v>38</v>
      </c>
      <c r="D12" t="s">
        <v>17</v>
      </c>
      <c r="E12" t="b">
        <v>0</v>
      </c>
      <c r="G12">
        <v>150</v>
      </c>
    </row>
    <row r="13" spans="1:7">
      <c r="A13" s="3">
        <v>46297</v>
      </c>
      <c r="B13" s="45" t="s">
        <v>39</v>
      </c>
      <c r="C13" s="46" t="s">
        <v>40</v>
      </c>
      <c r="D13" t="s">
        <v>22</v>
      </c>
      <c r="E13" t="b">
        <v>0</v>
      </c>
      <c r="G13">
        <v>90</v>
      </c>
    </row>
    <row r="14" spans="1:7">
      <c r="A14" s="3">
        <v>46297</v>
      </c>
      <c r="B14" s="45" t="s">
        <v>41</v>
      </c>
      <c r="C14" s="46" t="s">
        <v>42</v>
      </c>
      <c r="D14" t="s">
        <v>43</v>
      </c>
      <c r="E14" t="b">
        <v>0</v>
      </c>
      <c r="G14">
        <v>60</v>
      </c>
    </row>
    <row r="15" spans="1:7">
      <c r="A15" s="3">
        <v>46297</v>
      </c>
      <c r="B15" s="45" t="s">
        <v>44</v>
      </c>
      <c r="C15" s="46" t="s">
        <v>45</v>
      </c>
      <c r="D15" t="s">
        <v>17</v>
      </c>
      <c r="E15" t="b">
        <v>1</v>
      </c>
      <c r="G15">
        <v>30</v>
      </c>
    </row>
    <row r="16" spans="1:7">
      <c r="A16" s="3">
        <v>46297</v>
      </c>
      <c r="B16" s="45">
        <v>0.9375</v>
      </c>
      <c r="C16" s="46" t="s">
        <v>46</v>
      </c>
      <c r="D16" t="s">
        <v>17</v>
      </c>
      <c r="E16" t="b">
        <v>1</v>
      </c>
      <c r="G16">
        <v>0</v>
      </c>
    </row>
    <row r="17" spans="1:7">
      <c r="A17" s="82">
        <v>46302</v>
      </c>
      <c r="B17" s="45">
        <v>0.25</v>
      </c>
      <c r="C17" s="46" t="s">
        <v>16</v>
      </c>
      <c r="D17" t="s">
        <v>17</v>
      </c>
      <c r="E17" t="b">
        <v>1</v>
      </c>
      <c r="G17">
        <v>0</v>
      </c>
    </row>
    <row r="18" spans="1:7">
      <c r="A18" s="82">
        <v>46302</v>
      </c>
      <c r="B18" s="45" t="s">
        <v>18</v>
      </c>
      <c r="C18" s="46" t="s">
        <v>19</v>
      </c>
      <c r="D18" t="s">
        <v>17</v>
      </c>
      <c r="E18" t="b">
        <v>1</v>
      </c>
      <c r="G18">
        <v>30</v>
      </c>
    </row>
    <row r="19" spans="1:7">
      <c r="A19" s="82">
        <v>46302</v>
      </c>
      <c r="B19" s="45" t="s">
        <v>20</v>
      </c>
      <c r="C19" s="46" t="s">
        <v>21</v>
      </c>
      <c r="D19" t="s">
        <v>22</v>
      </c>
      <c r="E19" t="b">
        <v>1</v>
      </c>
      <c r="G19">
        <v>120</v>
      </c>
    </row>
    <row r="20" spans="1:7">
      <c r="A20" s="82">
        <v>46302</v>
      </c>
      <c r="B20" s="45" t="s">
        <v>23</v>
      </c>
      <c r="C20" s="46" t="s">
        <v>24</v>
      </c>
      <c r="D20" t="s">
        <v>17</v>
      </c>
      <c r="E20" t="b">
        <v>1</v>
      </c>
      <c r="G20">
        <v>30</v>
      </c>
    </row>
    <row r="21" spans="1:7">
      <c r="A21" s="82">
        <v>46302</v>
      </c>
      <c r="B21" s="45" t="s">
        <v>25</v>
      </c>
      <c r="C21" s="46" t="s">
        <v>26</v>
      </c>
      <c r="D21" t="s">
        <v>22</v>
      </c>
      <c r="E21" t="b">
        <v>1</v>
      </c>
      <c r="G21">
        <v>120</v>
      </c>
    </row>
    <row r="22" spans="1:7">
      <c r="A22" s="82">
        <v>46302</v>
      </c>
      <c r="B22" s="45" t="s">
        <v>27</v>
      </c>
      <c r="C22" s="46" t="s">
        <v>28</v>
      </c>
      <c r="D22" t="s">
        <v>17</v>
      </c>
      <c r="E22" t="b">
        <v>1</v>
      </c>
      <c r="G22">
        <v>90</v>
      </c>
    </row>
    <row r="23" spans="1:7">
      <c r="A23" s="82">
        <v>46302</v>
      </c>
      <c r="B23" s="45" t="s">
        <v>29</v>
      </c>
      <c r="C23" s="46" t="s">
        <v>30</v>
      </c>
      <c r="D23" t="s">
        <v>31</v>
      </c>
      <c r="E23" t="b">
        <v>0</v>
      </c>
      <c r="G23">
        <v>90</v>
      </c>
    </row>
    <row r="24" spans="1:7">
      <c r="A24" s="82">
        <v>46302</v>
      </c>
      <c r="B24" s="45" t="s">
        <v>32</v>
      </c>
      <c r="C24" s="46" t="s">
        <v>24</v>
      </c>
      <c r="D24" t="s">
        <v>17</v>
      </c>
      <c r="E24" t="b">
        <v>0</v>
      </c>
      <c r="G24">
        <v>60</v>
      </c>
    </row>
    <row r="25" spans="1:7">
      <c r="A25" s="82">
        <v>46302</v>
      </c>
      <c r="B25" s="45" t="s">
        <v>33</v>
      </c>
      <c r="C25" s="46" t="s">
        <v>34</v>
      </c>
      <c r="D25" t="s">
        <v>17</v>
      </c>
      <c r="E25" t="b">
        <v>0</v>
      </c>
      <c r="G25">
        <v>30</v>
      </c>
    </row>
    <row r="26" spans="1:7">
      <c r="A26" s="82">
        <v>46302</v>
      </c>
      <c r="B26" s="45" t="s">
        <v>35</v>
      </c>
      <c r="C26" s="46" t="s">
        <v>36</v>
      </c>
      <c r="D26" t="s">
        <v>36</v>
      </c>
      <c r="E26" t="b">
        <v>0</v>
      </c>
      <c r="G26">
        <v>60</v>
      </c>
    </row>
    <row r="27" spans="1:7">
      <c r="A27" s="82">
        <v>46302</v>
      </c>
      <c r="B27" s="45" t="s">
        <v>37</v>
      </c>
      <c r="C27" s="46" t="s">
        <v>38</v>
      </c>
      <c r="D27" t="s">
        <v>17</v>
      </c>
      <c r="E27" t="b">
        <v>0</v>
      </c>
      <c r="G27">
        <v>150</v>
      </c>
    </row>
    <row r="28" spans="1:7">
      <c r="A28" s="82">
        <v>46302</v>
      </c>
      <c r="B28" s="45" t="s">
        <v>39</v>
      </c>
      <c r="C28" s="46" t="s">
        <v>40</v>
      </c>
      <c r="D28" t="s">
        <v>22</v>
      </c>
      <c r="E28" t="b">
        <v>0</v>
      </c>
      <c r="G28">
        <v>90</v>
      </c>
    </row>
    <row r="29" spans="1:7">
      <c r="A29" s="82">
        <v>46302</v>
      </c>
      <c r="B29" s="45" t="s">
        <v>41</v>
      </c>
      <c r="C29" s="46" t="s">
        <v>42</v>
      </c>
      <c r="D29" t="s">
        <v>43</v>
      </c>
      <c r="E29" t="b">
        <v>0</v>
      </c>
      <c r="G29">
        <v>60</v>
      </c>
    </row>
    <row r="30" spans="1:7">
      <c r="A30" s="82">
        <v>46302</v>
      </c>
      <c r="B30" s="45" t="s">
        <v>44</v>
      </c>
      <c r="C30" s="46" t="s">
        <v>45</v>
      </c>
      <c r="D30" t="s">
        <v>17</v>
      </c>
      <c r="E30" t="b">
        <v>0</v>
      </c>
      <c r="G30">
        <v>30</v>
      </c>
    </row>
    <row r="31" spans="1:7">
      <c r="A31" s="82">
        <v>46302</v>
      </c>
      <c r="B31" s="45">
        <v>0.9375</v>
      </c>
      <c r="C31" s="46" t="s">
        <v>46</v>
      </c>
      <c r="D31" t="s">
        <v>17</v>
      </c>
      <c r="E31" t="b">
        <v>0</v>
      </c>
      <c r="G31"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707AE-6054-495C-B7E5-45FDE7D7797D}">
  <sheetPr codeName="Sheet4"/>
  <dimension ref="A1:F3"/>
  <sheetViews>
    <sheetView workbookViewId="0">
      <selection activeCell="A2" sqref="A2:F3"/>
    </sheetView>
  </sheetViews>
  <sheetFormatPr defaultRowHeight="14.5"/>
  <cols>
    <col min="1" max="1" width="10.453125" bestFit="1" customWidth="1"/>
    <col min="4" max="4" width="10.36328125" bestFit="1" customWidth="1"/>
  </cols>
  <sheetData>
    <row r="1" spans="1:6">
      <c r="A1" t="s">
        <v>10</v>
      </c>
      <c r="B1" t="s">
        <v>48</v>
      </c>
      <c r="C1" t="s">
        <v>14</v>
      </c>
      <c r="D1" t="s">
        <v>49</v>
      </c>
      <c r="E1" t="s">
        <v>50</v>
      </c>
      <c r="F1" t="s">
        <v>51</v>
      </c>
    </row>
    <row r="2" spans="1:6">
      <c r="A2" s="82">
        <v>46302</v>
      </c>
      <c r="B2">
        <v>15</v>
      </c>
      <c r="C2">
        <v>6</v>
      </c>
      <c r="D2">
        <v>390</v>
      </c>
      <c r="E2" s="1">
        <v>0.4</v>
      </c>
    </row>
    <row r="3" spans="1:6">
      <c r="A3" s="82">
        <v>46297</v>
      </c>
      <c r="B3">
        <v>15</v>
      </c>
      <c r="C3">
        <v>4</v>
      </c>
      <c r="D3">
        <v>60</v>
      </c>
      <c r="E3" s="1">
        <v>0.26666666666666666</v>
      </c>
    </row>
  </sheetData>
  <sortState xmlns:xlrd2="http://schemas.microsoft.com/office/spreadsheetml/2017/richdata2" ref="A2:F3">
    <sortCondition descending="1" ref="A2:A3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7F22B-6960-4363-A019-A22C7379483C}">
  <sheetPr codeName="Sheet5"/>
  <dimension ref="A1:A100"/>
  <sheetViews>
    <sheetView workbookViewId="0">
      <selection activeCell="C21" sqref="C21"/>
    </sheetView>
  </sheetViews>
  <sheetFormatPr defaultRowHeight="14.5"/>
  <cols>
    <col min="1" max="1" width="10.453125" bestFit="1" customWidth="1"/>
  </cols>
  <sheetData>
    <row r="1" spans="1:1">
      <c r="A1" t="s">
        <v>10</v>
      </c>
    </row>
    <row r="2" spans="1:1">
      <c r="A2" s="3">
        <v>46297</v>
      </c>
    </row>
    <row r="3" spans="1:1">
      <c r="A3" s="3">
        <v>46296</v>
      </c>
    </row>
    <row r="4" spans="1:1">
      <c r="A4" s="3">
        <v>46295</v>
      </c>
    </row>
    <row r="5" spans="1:1">
      <c r="A5" s="3">
        <v>46293</v>
      </c>
    </row>
    <row r="6" spans="1:1">
      <c r="A6" s="3">
        <v>46292</v>
      </c>
    </row>
    <row r="7" spans="1:1">
      <c r="A7" s="2"/>
    </row>
    <row r="8" spans="1:1">
      <c r="A8" s="2"/>
    </row>
    <row r="9" spans="1:1">
      <c r="A9" s="2"/>
    </row>
    <row r="10" spans="1:1">
      <c r="A10" s="2"/>
    </row>
    <row r="11" spans="1:1">
      <c r="A11" s="2"/>
    </row>
    <row r="12" spans="1:1">
      <c r="A12" s="2"/>
    </row>
    <row r="13" spans="1:1">
      <c r="A13" s="2"/>
    </row>
    <row r="14" spans="1:1">
      <c r="A14" s="2"/>
    </row>
    <row r="15" spans="1:1">
      <c r="A15" s="2"/>
    </row>
    <row r="16" spans="1:1">
      <c r="A16" s="2"/>
    </row>
    <row r="17" spans="1:1">
      <c r="A17" s="2"/>
    </row>
    <row r="18" spans="1:1">
      <c r="A18" s="2"/>
    </row>
    <row r="19" spans="1:1">
      <c r="A19" s="2"/>
    </row>
    <row r="20" spans="1:1">
      <c r="A20" s="2"/>
    </row>
    <row r="21" spans="1:1">
      <c r="A21" s="2"/>
    </row>
    <row r="22" spans="1:1">
      <c r="A22" s="2"/>
    </row>
    <row r="23" spans="1:1">
      <c r="A23" s="2"/>
    </row>
    <row r="24" spans="1:1">
      <c r="A24" s="2"/>
    </row>
    <row r="25" spans="1:1">
      <c r="A25" s="2"/>
    </row>
    <row r="26" spans="1:1">
      <c r="A26" s="2"/>
    </row>
    <row r="27" spans="1:1">
      <c r="A27" s="2"/>
    </row>
    <row r="28" spans="1:1">
      <c r="A28" s="2"/>
    </row>
    <row r="29" spans="1:1">
      <c r="A29" s="2"/>
    </row>
    <row r="30" spans="1:1">
      <c r="A30" s="2"/>
    </row>
    <row r="31" spans="1:1">
      <c r="A31" s="2"/>
    </row>
    <row r="32" spans="1:1">
      <c r="A32" s="2"/>
    </row>
    <row r="33" spans="1:1">
      <c r="A33" s="2"/>
    </row>
    <row r="34" spans="1:1">
      <c r="A34" s="2"/>
    </row>
    <row r="35" spans="1:1">
      <c r="A35" s="2"/>
    </row>
    <row r="36" spans="1:1">
      <c r="A36" s="2"/>
    </row>
    <row r="37" spans="1:1">
      <c r="A37" s="2"/>
    </row>
    <row r="38" spans="1:1">
      <c r="A38" s="2"/>
    </row>
    <row r="39" spans="1:1">
      <c r="A39" s="2"/>
    </row>
    <row r="40" spans="1:1">
      <c r="A40" s="2"/>
    </row>
    <row r="41" spans="1:1">
      <c r="A41" s="2"/>
    </row>
    <row r="42" spans="1:1">
      <c r="A42" s="2"/>
    </row>
    <row r="43" spans="1:1">
      <c r="A43" s="2"/>
    </row>
    <row r="44" spans="1:1">
      <c r="A44" s="2"/>
    </row>
    <row r="45" spans="1:1">
      <c r="A45" s="2"/>
    </row>
    <row r="46" spans="1:1">
      <c r="A46" s="2"/>
    </row>
    <row r="47" spans="1:1">
      <c r="A47" s="2"/>
    </row>
    <row r="48" spans="1:1">
      <c r="A48" s="2"/>
    </row>
    <row r="49" spans="1:1">
      <c r="A49" s="2"/>
    </row>
    <row r="50" spans="1:1">
      <c r="A50" s="2"/>
    </row>
    <row r="51" spans="1:1">
      <c r="A51" s="2"/>
    </row>
    <row r="52" spans="1:1">
      <c r="A52" s="2"/>
    </row>
    <row r="53" spans="1:1">
      <c r="A53" s="2"/>
    </row>
    <row r="54" spans="1:1">
      <c r="A54" s="2"/>
    </row>
    <row r="55" spans="1:1">
      <c r="A55" s="2"/>
    </row>
    <row r="56" spans="1:1">
      <c r="A56" s="2"/>
    </row>
    <row r="57" spans="1:1">
      <c r="A57" s="2"/>
    </row>
    <row r="58" spans="1:1">
      <c r="A58" s="2"/>
    </row>
    <row r="59" spans="1:1">
      <c r="A59" s="2"/>
    </row>
    <row r="60" spans="1:1">
      <c r="A60" s="2"/>
    </row>
    <row r="61" spans="1:1">
      <c r="A61" s="2"/>
    </row>
    <row r="62" spans="1:1">
      <c r="A62" s="2"/>
    </row>
    <row r="63" spans="1:1">
      <c r="A63" s="2"/>
    </row>
    <row r="64" spans="1:1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  <row r="82" spans="1:1">
      <c r="A82" s="2"/>
    </row>
    <row r="83" spans="1:1">
      <c r="A83" s="2"/>
    </row>
    <row r="84" spans="1:1">
      <c r="A84" s="2"/>
    </row>
    <row r="85" spans="1:1">
      <c r="A85" s="2"/>
    </row>
    <row r="86" spans="1:1">
      <c r="A86" s="2"/>
    </row>
    <row r="87" spans="1:1">
      <c r="A87" s="2"/>
    </row>
    <row r="88" spans="1:1">
      <c r="A88" s="2"/>
    </row>
    <row r="89" spans="1:1">
      <c r="A89" s="2"/>
    </row>
    <row r="90" spans="1:1">
      <c r="A90" s="2"/>
    </row>
    <row r="91" spans="1:1">
      <c r="A91" s="2"/>
    </row>
    <row r="92" spans="1:1">
      <c r="A92" s="2"/>
    </row>
    <row r="93" spans="1:1">
      <c r="A93" s="2"/>
    </row>
    <row r="94" spans="1:1">
      <c r="A94" s="2"/>
    </row>
    <row r="95" spans="1:1">
      <c r="A95" s="2"/>
    </row>
    <row r="96" spans="1:1">
      <c r="A96" s="2"/>
    </row>
    <row r="97" spans="1:1">
      <c r="A97" s="2"/>
    </row>
    <row r="98" spans="1:1">
      <c r="A98" s="2"/>
    </row>
    <row r="99" spans="1:1">
      <c r="A99" s="2"/>
    </row>
    <row r="100" spans="1:1">
      <c r="A100" s="2"/>
    </row>
  </sheetData>
  <sortState xmlns:xlrd2="http://schemas.microsoft.com/office/spreadsheetml/2017/richdata2" ref="A2:A6">
    <sortCondition descending="1" ref="A2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Daily Routine</vt:lpstr>
      <vt:lpstr>RoutineDB</vt:lpstr>
      <vt:lpstr>Historyy</vt:lpstr>
      <vt:lpstr>DateList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Ramdani</dc:creator>
  <cp:lastModifiedBy>Muhammad Ramdani</cp:lastModifiedBy>
  <dcterms:created xsi:type="dcterms:W3CDTF">2026-10-01T18:43:36Z</dcterms:created>
  <dcterms:modified xsi:type="dcterms:W3CDTF">2026-10-07T05:00:31Z</dcterms:modified>
</cp:coreProperties>
</file>